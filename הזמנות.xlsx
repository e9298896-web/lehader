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משתמש זה\Desktop\"/>
    </mc:Choice>
  </mc:AlternateContent>
  <xr:revisionPtr revIDLastSave="0" documentId="8_{BCB68B52-8CF8-438A-A92E-E1BFC96CA56C}" xr6:coauthVersionLast="47" xr6:coauthVersionMax="47" xr10:uidLastSave="{00000000-0000-0000-0000-000000000000}"/>
  <bookViews>
    <workbookView xWindow="-120" yWindow="-120" windowWidth="20730" windowHeight="11160" xr2:uid="{C1F997AF-FB15-4852-B940-C19459EFBEA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4" i="1" l="1"/>
  <c r="D304" i="1"/>
  <c r="D303" i="1"/>
  <c r="D302" i="1"/>
  <c r="E301" i="1"/>
  <c r="D301" i="1"/>
  <c r="D300" i="1"/>
  <c r="D299" i="1"/>
  <c r="E298" i="1"/>
  <c r="D298" i="1"/>
  <c r="E297" i="1"/>
  <c r="D297" i="1"/>
  <c r="D296" i="1"/>
  <c r="D295" i="1"/>
  <c r="D294" i="1"/>
  <c r="D293" i="1"/>
  <c r="E292" i="1"/>
  <c r="D292" i="1"/>
  <c r="E291" i="1"/>
  <c r="D291" i="1"/>
  <c r="E290" i="1"/>
  <c r="D290" i="1"/>
  <c r="D289" i="1"/>
  <c r="D288" i="1"/>
  <c r="D287" i="1"/>
  <c r="D286" i="1"/>
  <c r="D285" i="1"/>
  <c r="E284" i="1"/>
  <c r="D284" i="1"/>
  <c r="D283" i="1"/>
  <c r="E282" i="1"/>
  <c r="D282" i="1"/>
  <c r="D281" i="1"/>
  <c r="D280" i="1"/>
  <c r="E279" i="1"/>
  <c r="D279" i="1"/>
  <c r="E278" i="1"/>
  <c r="D278" i="1"/>
  <c r="D277" i="1"/>
  <c r="E276" i="1"/>
  <c r="D276" i="1"/>
  <c r="E275" i="1"/>
  <c r="D275" i="1"/>
  <c r="D274" i="1"/>
  <c r="E273" i="1"/>
  <c r="D273" i="1"/>
  <c r="D272" i="1"/>
  <c r="D271" i="1"/>
  <c r="D270" i="1"/>
  <c r="E269" i="1"/>
  <c r="D269" i="1"/>
  <c r="D268" i="1"/>
  <c r="E267" i="1"/>
  <c r="D267" i="1"/>
  <c r="D266" i="1"/>
  <c r="D265" i="1"/>
  <c r="E264" i="1"/>
  <c r="D264" i="1"/>
  <c r="D263" i="1"/>
  <c r="E262" i="1"/>
  <c r="D262" i="1"/>
  <c r="D261" i="1"/>
  <c r="D260" i="1"/>
  <c r="D259" i="1"/>
  <c r="E258" i="1"/>
  <c r="D258" i="1"/>
  <c r="D257" i="1"/>
  <c r="E256" i="1"/>
  <c r="D256" i="1"/>
  <c r="D255" i="1"/>
  <c r="D254" i="1"/>
  <c r="E253" i="1"/>
  <c r="D253" i="1"/>
  <c r="E252" i="1"/>
  <c r="D252" i="1"/>
  <c r="D251" i="1"/>
  <c r="E250" i="1"/>
  <c r="D250" i="1"/>
  <c r="E249" i="1"/>
  <c r="D249" i="1"/>
  <c r="D248" i="1"/>
  <c r="D247" i="1"/>
  <c r="D246" i="1"/>
  <c r="E245" i="1"/>
  <c r="D245" i="1"/>
  <c r="D244" i="1"/>
  <c r="D243" i="1"/>
  <c r="D242" i="1"/>
  <c r="D241" i="1"/>
  <c r="D240" i="1"/>
  <c r="D239" i="1"/>
  <c r="D238" i="1"/>
  <c r="E237" i="1"/>
  <c r="D237" i="1"/>
  <c r="E236" i="1"/>
  <c r="D236" i="1"/>
  <c r="D235" i="1"/>
  <c r="E234" i="1"/>
  <c r="D234" i="1"/>
  <c r="D233" i="1"/>
  <c r="D232" i="1"/>
  <c r="D231" i="1"/>
  <c r="E230" i="1"/>
  <c r="D230" i="1"/>
  <c r="D229" i="1"/>
  <c r="D228" i="1"/>
  <c r="E227" i="1"/>
  <c r="D227" i="1"/>
  <c r="D226" i="1"/>
  <c r="E225" i="1"/>
  <c r="D225" i="1"/>
  <c r="D224" i="1"/>
  <c r="D223" i="1"/>
  <c r="D222" i="1"/>
  <c r="D221" i="1"/>
  <c r="E220" i="1"/>
  <c r="D220" i="1"/>
  <c r="D219" i="1"/>
  <c r="D218" i="1"/>
  <c r="E217" i="1"/>
  <c r="D217" i="1"/>
  <c r="D216" i="1"/>
  <c r="D215" i="1"/>
  <c r="E214" i="1"/>
  <c r="D214" i="1"/>
  <c r="D213" i="1"/>
  <c r="D212" i="1"/>
  <c r="E211" i="1"/>
  <c r="D211" i="1"/>
  <c r="D210" i="1"/>
  <c r="D209" i="1"/>
  <c r="E208" i="1"/>
  <c r="D208" i="1"/>
  <c r="E207" i="1"/>
  <c r="D207" i="1"/>
  <c r="E206" i="1"/>
  <c r="D206" i="1"/>
  <c r="D205" i="1"/>
  <c r="D204" i="1"/>
  <c r="E203" i="1"/>
  <c r="D203" i="1"/>
  <c r="E202" i="1"/>
  <c r="D202" i="1"/>
  <c r="D201" i="1"/>
  <c r="D200" i="1"/>
  <c r="D199" i="1"/>
  <c r="E198" i="1"/>
  <c r="D198" i="1"/>
  <c r="D197" i="1"/>
  <c r="D196" i="1"/>
  <c r="D195" i="1"/>
  <c r="D194" i="1"/>
  <c r="D193" i="1"/>
  <c r="D192" i="1"/>
  <c r="E191" i="1"/>
  <c r="D191" i="1"/>
  <c r="D190" i="1"/>
  <c r="E189" i="1"/>
  <c r="D189" i="1"/>
  <c r="D188" i="1"/>
  <c r="E187" i="1"/>
  <c r="D187" i="1"/>
  <c r="D186" i="1"/>
  <c r="E185" i="1"/>
  <c r="D185" i="1"/>
  <c r="D184" i="1"/>
  <c r="D183" i="1"/>
  <c r="E182" i="1"/>
  <c r="D182" i="1"/>
  <c r="E181" i="1"/>
  <c r="D181" i="1"/>
  <c r="E180" i="1"/>
  <c r="D180" i="1"/>
  <c r="E179" i="1"/>
  <c r="D179" i="1"/>
  <c r="D178" i="1"/>
  <c r="E177" i="1"/>
  <c r="D177" i="1"/>
  <c r="D176" i="1"/>
  <c r="D175" i="1"/>
  <c r="E174" i="1"/>
  <c r="D174" i="1"/>
  <c r="E173" i="1"/>
  <c r="D173" i="1"/>
  <c r="E172" i="1"/>
  <c r="D172" i="1"/>
  <c r="D171" i="1"/>
  <c r="D170" i="1"/>
  <c r="D169" i="1"/>
  <c r="D168" i="1"/>
  <c r="D167" i="1"/>
  <c r="E166" i="1"/>
  <c r="D166" i="1"/>
  <c r="E165" i="1"/>
  <c r="D165" i="1"/>
  <c r="D164" i="1"/>
  <c r="D163" i="1"/>
  <c r="E162" i="1"/>
  <c r="D162" i="1"/>
  <c r="E161" i="1"/>
  <c r="D161" i="1"/>
  <c r="D160" i="1"/>
  <c r="E159" i="1"/>
  <c r="D159" i="1"/>
  <c r="D158" i="1"/>
  <c r="D157" i="1"/>
  <c r="E156" i="1"/>
  <c r="D156" i="1"/>
  <c r="E155" i="1"/>
  <c r="D155" i="1"/>
  <c r="E154" i="1"/>
  <c r="D154" i="1"/>
  <c r="D153" i="1"/>
  <c r="D152" i="1"/>
  <c r="E151" i="1"/>
  <c r="D151" i="1"/>
  <c r="E150" i="1"/>
  <c r="D150" i="1"/>
  <c r="E149" i="1"/>
  <c r="D149" i="1"/>
  <c r="D148" i="1"/>
  <c r="E147" i="1"/>
  <c r="D147" i="1"/>
  <c r="D146" i="1"/>
  <c r="D145" i="1"/>
  <c r="E144" i="1"/>
  <c r="D144" i="1"/>
  <c r="E143" i="1"/>
  <c r="D143" i="1"/>
  <c r="E142" i="1"/>
  <c r="D142" i="1"/>
  <c r="E141" i="1"/>
  <c r="D141" i="1"/>
  <c r="E140" i="1"/>
  <c r="D140" i="1"/>
  <c r="D139" i="1"/>
  <c r="E138" i="1"/>
  <c r="D138" i="1"/>
  <c r="E137" i="1"/>
  <c r="D137" i="1"/>
  <c r="D136" i="1"/>
  <c r="E135" i="1"/>
  <c r="D135" i="1"/>
  <c r="D134" i="1"/>
  <c r="D133" i="1"/>
  <c r="E132" i="1"/>
  <c r="D132" i="1"/>
  <c r="D131" i="1"/>
  <c r="E130" i="1"/>
  <c r="D130" i="1"/>
  <c r="D129" i="1"/>
  <c r="D128" i="1"/>
  <c r="E127" i="1"/>
  <c r="D127" i="1"/>
  <c r="D126" i="1"/>
  <c r="E125" i="1"/>
  <c r="D125" i="1"/>
  <c r="D124" i="1"/>
  <c r="D123" i="1"/>
  <c r="E122" i="1"/>
  <c r="D122" i="1"/>
  <c r="D121" i="1"/>
  <c r="D120" i="1"/>
  <c r="D119" i="1"/>
  <c r="D118" i="1"/>
  <c r="E117" i="1"/>
  <c r="D117" i="1"/>
  <c r="E116" i="1"/>
  <c r="D116" i="1"/>
  <c r="D115" i="1"/>
  <c r="D114" i="1"/>
  <c r="E113" i="1"/>
  <c r="D113" i="1"/>
  <c r="D112" i="1"/>
  <c r="D111" i="1"/>
  <c r="D110" i="1"/>
  <c r="D109" i="1"/>
  <c r="D108" i="1"/>
  <c r="E107" i="1"/>
  <c r="D107" i="1"/>
  <c r="D106" i="1"/>
  <c r="D105" i="1"/>
  <c r="D104" i="1"/>
  <c r="D103" i="1"/>
  <c r="E102" i="1"/>
  <c r="D102" i="1"/>
  <c r="E101" i="1"/>
  <c r="D101" i="1"/>
  <c r="E100" i="1"/>
  <c r="D100" i="1"/>
  <c r="D99" i="1"/>
  <c r="D98" i="1"/>
  <c r="E97" i="1"/>
  <c r="D97" i="1"/>
  <c r="D96" i="1"/>
  <c r="E95" i="1"/>
  <c r="D95" i="1"/>
  <c r="D94" i="1"/>
  <c r="D93" i="1"/>
  <c r="D92" i="1"/>
  <c r="E91" i="1"/>
  <c r="D91" i="1"/>
  <c r="D90" i="1"/>
  <c r="E89" i="1"/>
  <c r="D89" i="1"/>
  <c r="E88" i="1"/>
  <c r="D88" i="1"/>
  <c r="D87" i="1"/>
  <c r="E86" i="1"/>
  <c r="D86" i="1"/>
  <c r="D85" i="1"/>
  <c r="E84" i="1"/>
  <c r="D84" i="1"/>
  <c r="D83" i="1"/>
  <c r="D82" i="1"/>
  <c r="E81" i="1"/>
  <c r="D81" i="1"/>
  <c r="E80" i="1"/>
  <c r="D80" i="1"/>
  <c r="D79" i="1"/>
  <c r="D78" i="1"/>
  <c r="D77" i="1"/>
  <c r="D76" i="1"/>
  <c r="D75" i="1"/>
  <c r="D74" i="1"/>
  <c r="D73" i="1"/>
  <c r="D72" i="1"/>
  <c r="D71" i="1"/>
  <c r="D70" i="1"/>
  <c r="E69" i="1"/>
  <c r="D69" i="1"/>
  <c r="E68" i="1"/>
  <c r="D68" i="1"/>
  <c r="E67" i="1"/>
  <c r="D67" i="1"/>
  <c r="D66" i="1"/>
  <c r="E65" i="1"/>
  <c r="D65" i="1"/>
  <c r="D64" i="1"/>
  <c r="E63" i="1"/>
  <c r="D63" i="1"/>
  <c r="D62" i="1"/>
  <c r="D60" i="1"/>
  <c r="E59" i="1"/>
  <c r="D59" i="1"/>
  <c r="D58" i="1"/>
  <c r="D57" i="1"/>
  <c r="D56" i="1"/>
  <c r="D55" i="1"/>
  <c r="E54" i="1"/>
  <c r="D54" i="1"/>
  <c r="D53" i="1"/>
  <c r="E52" i="1"/>
  <c r="D52" i="1"/>
  <c r="D51" i="1"/>
  <c r="E50" i="1"/>
  <c r="D50" i="1"/>
  <c r="D49" i="1"/>
  <c r="D48" i="1"/>
  <c r="D47" i="1"/>
  <c r="D46" i="1"/>
  <c r="E45" i="1"/>
  <c r="D45" i="1"/>
  <c r="D44" i="1"/>
  <c r="E43" i="1"/>
  <c r="D43" i="1"/>
  <c r="D42" i="1"/>
  <c r="E41" i="1"/>
  <c r="D41" i="1"/>
  <c r="D40" i="1"/>
  <c r="D39" i="1"/>
  <c r="E38" i="1"/>
  <c r="D38" i="1"/>
  <c r="E37" i="1"/>
  <c r="D37" i="1"/>
  <c r="D36" i="1"/>
  <c r="D35" i="1"/>
  <c r="D34" i="1"/>
  <c r="E33" i="1"/>
  <c r="D33" i="1"/>
  <c r="D32" i="1"/>
  <c r="E31" i="1"/>
  <c r="D31" i="1"/>
  <c r="D30" i="1"/>
  <c r="D29" i="1"/>
  <c r="E28" i="1"/>
  <c r="D28" i="1"/>
  <c r="D27" i="1"/>
  <c r="D26" i="1"/>
  <c r="E25" i="1"/>
  <c r="D25" i="1"/>
  <c r="E24" i="1"/>
  <c r="D24" i="1"/>
  <c r="D23" i="1"/>
  <c r="D22" i="1"/>
  <c r="E21" i="1"/>
  <c r="D21" i="1"/>
  <c r="D20" i="1"/>
  <c r="D19" i="1"/>
  <c r="D18" i="1"/>
  <c r="E17" i="1"/>
  <c r="D17" i="1"/>
  <c r="D16" i="1"/>
  <c r="D15" i="1"/>
  <c r="E14" i="1"/>
  <c r="D14" i="1"/>
  <c r="D13" i="1"/>
  <c r="D12" i="1"/>
  <c r="E11" i="1"/>
  <c r="D11" i="1"/>
  <c r="D10" i="1"/>
  <c r="D9" i="1"/>
  <c r="E8" i="1"/>
  <c r="D8" i="1"/>
  <c r="D7" i="1"/>
  <c r="D6" i="1"/>
  <c r="D5" i="1"/>
  <c r="D4" i="1"/>
  <c r="E3" i="1"/>
  <c r="D3" i="1"/>
  <c r="D2" i="1"/>
</calcChain>
</file>

<file path=xl/sharedStrings.xml><?xml version="1.0" encoding="utf-8"?>
<sst xmlns="http://schemas.openxmlformats.org/spreadsheetml/2006/main" count="4867" uniqueCount="507">
  <si>
    <t>תאריך יצירה</t>
  </si>
  <si>
    <t>שם משפחה</t>
  </si>
  <si>
    <t>שם פרטי</t>
  </si>
  <si>
    <t>טלפון</t>
  </si>
  <si>
    <t>טלפון נוסף</t>
  </si>
  <si>
    <t>מייל</t>
  </si>
  <si>
    <t>הערות</t>
  </si>
  <si>
    <t>אתרוגי קופשיץ מהודר א' א' - מיוחד מאוד</t>
  </si>
  <si>
    <t>אתרוגי קופשיץ מהודר א' א' - מהודר ויפה</t>
  </si>
  <si>
    <t>אתרוגי קופשיץ מהודר א'  - כשר לכתחילה</t>
  </si>
  <si>
    <t>אתרוגי קופשיץ - כשר לברכה</t>
  </si>
  <si>
    <t>אתרוגי בענעדיקט מהודר א' א' - מיוחד מאוד</t>
  </si>
  <si>
    <t>אתרוגי בענעדיקט מהודר א' א' - מהודר ויפה</t>
  </si>
  <si>
    <t>לולבי קובין מהודר א' א' - מיוחד מאוד</t>
  </si>
  <si>
    <t>לולבי קובין מהודר א' א' - מהודר ויפה</t>
  </si>
  <si>
    <t>לולבי קובין מהודר א'  - כשר לכתחילה</t>
  </si>
  <si>
    <t>לולבי קובין - קורא - זן דרי</t>
  </si>
  <si>
    <t>לולבי קובין - כשר לברכה</t>
  </si>
  <si>
    <t>הדסים מיון מדוקדק</t>
  </si>
  <si>
    <t>הדסים מהודר א'</t>
  </si>
  <si>
    <t>הדסים כשר לברכה'</t>
  </si>
  <si>
    <t>קוישקלעך</t>
  </si>
  <si>
    <t>נרתיק ללולב - ואקום</t>
  </si>
  <si>
    <t>נרתיק ללולב - רגיל</t>
  </si>
  <si>
    <t>שקית יוקרתית לאתרוג</t>
  </si>
  <si>
    <t>אביכזר</t>
  </si>
  <si>
    <t>רפאל</t>
  </si>
  <si>
    <t>-</t>
  </si>
  <si>
    <t>אברהמס</t>
  </si>
  <si>
    <t>יצחק</t>
  </si>
  <si>
    <t>אדלשטיין</t>
  </si>
  <si>
    <t>מנחם</t>
  </si>
  <si>
    <t>אולמן</t>
  </si>
  <si>
    <t>גרשון</t>
  </si>
  <si>
    <t>הרב יוסף צבי</t>
  </si>
  <si>
    <t>נפתלי</t>
  </si>
  <si>
    <t>שלמה</t>
  </si>
  <si>
    <t>אזולאי</t>
  </si>
  <si>
    <t>עמרם</t>
  </si>
  <si>
    <t>איזנשטיין</t>
  </si>
  <si>
    <t>יעקב</t>
  </si>
  <si>
    <t>איצקוביץ</t>
  </si>
  <si>
    <t>ישראל מאיר</t>
  </si>
  <si>
    <t>a0548474247@gmail.com</t>
  </si>
  <si>
    <t>אליצור</t>
  </si>
  <si>
    <t>יהודה</t>
  </si>
  <si>
    <t>אלמקייס</t>
  </si>
  <si>
    <t>ניסים</t>
  </si>
  <si>
    <t>אמיתי</t>
  </si>
  <si>
    <t>9482600b@gmail.com</t>
  </si>
  <si>
    <t>אסולין</t>
  </si>
  <si>
    <t>שמעון</t>
  </si>
  <si>
    <t>אפטרגוט</t>
  </si>
  <si>
    <t>יהושע</t>
  </si>
  <si>
    <t>מרדכי</t>
  </si>
  <si>
    <t>אקרמן</t>
  </si>
  <si>
    <t>דוד</t>
  </si>
  <si>
    <t>פינחס</t>
  </si>
  <si>
    <t>פנחס</t>
  </si>
  <si>
    <t>אריאל</t>
  </si>
  <si>
    <t>אברהם</t>
  </si>
  <si>
    <t>תדה על השנים שעברו הכל היה נפלא במיוחד</t>
  </si>
  <si>
    <t>צבי</t>
  </si>
  <si>
    <t>בורה</t>
  </si>
  <si>
    <t>יהונתן</t>
  </si>
  <si>
    <t>ביגל</t>
  </si>
  <si>
    <t>אליהו</t>
  </si>
  <si>
    <t>בלאנק</t>
  </si>
  <si>
    <t>שלום משה</t>
  </si>
  <si>
    <t>wa0533167613@gmail.com</t>
  </si>
  <si>
    <t>בלוי</t>
  </si>
  <si>
    <t>יחיאל</t>
  </si>
  <si>
    <t>שלום</t>
  </si>
  <si>
    <t>b0527612483@gmail.com</t>
  </si>
  <si>
    <t>בן אזבי</t>
  </si>
  <si>
    <t>jeffreyben3@gmail.com</t>
  </si>
  <si>
    <t>בן דוד</t>
  </si>
  <si>
    <t>בן שטרית</t>
  </si>
  <si>
    <t>בק</t>
  </si>
  <si>
    <t>בראנד</t>
  </si>
  <si>
    <t>ברוורמן</t>
  </si>
  <si>
    <t>ברייזכר</t>
  </si>
  <si>
    <t>ישראל</t>
  </si>
  <si>
    <t>y0504117950@gmail.com</t>
  </si>
  <si>
    <t>ברמן</t>
  </si>
  <si>
    <t>ברנד</t>
  </si>
  <si>
    <t>משה יעקב</t>
  </si>
  <si>
    <t>ברנשטיין</t>
  </si>
  <si>
    <t>בנימין זאב</t>
  </si>
  <si>
    <t>מאיר</t>
  </si>
  <si>
    <t>גוטליב</t>
  </si>
  <si>
    <t>y0548536825@gmail.com</t>
  </si>
  <si>
    <t>גוטמן</t>
  </si>
  <si>
    <t>יוסף שלום</t>
  </si>
  <si>
    <t>גולדבלט</t>
  </si>
  <si>
    <t>גולדמן</t>
  </si>
  <si>
    <t>חיים</t>
  </si>
  <si>
    <t>G050416699@GMAIL.COM</t>
  </si>
  <si>
    <t>גולדנברג</t>
  </si>
  <si>
    <t>אהרן</t>
  </si>
  <si>
    <t>גולדשמידט</t>
  </si>
  <si>
    <t>ישעיהו</t>
  </si>
  <si>
    <t>גיברלטר</t>
  </si>
  <si>
    <t>גיטלר</t>
  </si>
  <si>
    <t>חגי</t>
  </si>
  <si>
    <t>c0504102078@GMIL.COM</t>
  </si>
  <si>
    <t>גייל</t>
  </si>
  <si>
    <t>גנור</t>
  </si>
  <si>
    <t>גרובר</t>
  </si>
  <si>
    <t>דניאל</t>
  </si>
  <si>
    <t>גרינפלד</t>
  </si>
  <si>
    <t>גרינשטיין</t>
  </si>
  <si>
    <t>יוסף</t>
  </si>
  <si>
    <t>yg141489@gmail.com</t>
  </si>
  <si>
    <t>גרינשפן</t>
  </si>
  <si>
    <t>דוברוביצר</t>
  </si>
  <si>
    <t>חנוך</t>
  </si>
  <si>
    <t>דויטש</t>
  </si>
  <si>
    <t>דומיניץ</t>
  </si>
  <si>
    <t>אריה</t>
  </si>
  <si>
    <t>דריי</t>
  </si>
  <si>
    <t>מיכאל</t>
  </si>
  <si>
    <t>דרייפוס</t>
  </si>
  <si>
    <t>היילפערן</t>
  </si>
  <si>
    <t>הירשמן</t>
  </si>
  <si>
    <t>ברוך מאיר</t>
  </si>
  <si>
    <t>הלברשטט</t>
  </si>
  <si>
    <t>9472rash@gmail.com</t>
  </si>
  <si>
    <t>הרשקוביץ</t>
  </si>
  <si>
    <t>אשמח לאתרוג שלא גדול מידי כבשנה שעברה</t>
  </si>
  <si>
    <t>ויזמן</t>
  </si>
  <si>
    <t>וינשטוק</t>
  </si>
  <si>
    <t>ברוך פנחס</t>
  </si>
  <si>
    <t>וינשטין</t>
  </si>
  <si>
    <t>יוחנן</t>
  </si>
  <si>
    <t>ויספיש</t>
  </si>
  <si>
    <t>וסרשטיין</t>
  </si>
  <si>
    <t>אליעזר</t>
  </si>
  <si>
    <t>ev0548437438@gmail.com</t>
  </si>
  <si>
    <t>שנה טובה</t>
  </si>
  <si>
    <t>זיו</t>
  </si>
  <si>
    <t>נתנאל</t>
  </si>
  <si>
    <t>זייבלד</t>
  </si>
  <si>
    <t>שמואל</t>
  </si>
  <si>
    <t>זילברמן</t>
  </si>
  <si>
    <t>זיסמן</t>
  </si>
  <si>
    <t>ch3105208@gmail.com</t>
  </si>
  <si>
    <t>זכריש</t>
  </si>
  <si>
    <t>חדד</t>
  </si>
  <si>
    <t>אוריה</t>
  </si>
  <si>
    <t>חזן</t>
  </si>
  <si>
    <t>חננאל</t>
  </si>
  <si>
    <t>חילקו</t>
  </si>
  <si>
    <t>ידידיה</t>
  </si>
  <si>
    <t>טיקוצקי</t>
  </si>
  <si>
    <t>et7116185@gmail.com</t>
  </si>
  <si>
    <t>יודלביץ</t>
  </si>
  <si>
    <t>יתכן שבסוף ארצה מרוקאי</t>
  </si>
  <si>
    <t>יוז'וק</t>
  </si>
  <si>
    <t>ילוז</t>
  </si>
  <si>
    <t>יעקבזון</t>
  </si>
  <si>
    <t>משה</t>
  </si>
  <si>
    <t>יעקבסון</t>
  </si>
  <si>
    <t>מאיר זאב</t>
  </si>
  <si>
    <t>יפה</t>
  </si>
  <si>
    <t>D0548589781@GMAIL.COM</t>
  </si>
  <si>
    <t>ירמק</t>
  </si>
  <si>
    <t>דבורי</t>
  </si>
  <si>
    <t>ישראלזון</t>
  </si>
  <si>
    <t>כאהן</t>
  </si>
  <si>
    <t>כהן</t>
  </si>
  <si>
    <t>משה חיים</t>
  </si>
  <si>
    <t>a583202835@gmail.com</t>
  </si>
  <si>
    <t>אני רוצה אתרוג עם פיטם</t>
  </si>
  <si>
    <t>r0583203419@gmail.com</t>
  </si>
  <si>
    <t>כץ</t>
  </si>
  <si>
    <t>אורי</t>
  </si>
  <si>
    <t>nk7117057@gmail.com</t>
  </si>
  <si>
    <t>לוי</t>
  </si>
  <si>
    <t>שמואל דוד</t>
  </si>
  <si>
    <t>3294246@GMAIL.COM</t>
  </si>
  <si>
    <t>לוינגר</t>
  </si>
  <si>
    <t>ליבוביץ</t>
  </si>
  <si>
    <t>אפרים</t>
  </si>
  <si>
    <t>ליזרוביץ</t>
  </si>
  <si>
    <t>ליטמן</t>
  </si>
  <si>
    <t>s0533161335@gmail.com</t>
  </si>
  <si>
    <t>לרפלד</t>
  </si>
  <si>
    <t>מיזלס</t>
  </si>
  <si>
    <t>דוב</t>
  </si>
  <si>
    <t>מלינובסקי</t>
  </si>
  <si>
    <t>מלכיאלי</t>
  </si>
  <si>
    <t>אבינועם</t>
  </si>
  <si>
    <t>3992813@gmail.com</t>
  </si>
  <si>
    <t>תודה רבה</t>
  </si>
  <si>
    <t>מלמד</t>
  </si>
  <si>
    <t>9742080@gmail.com</t>
  </si>
  <si>
    <t>מן</t>
  </si>
  <si>
    <t>Gol1919@gmail.com</t>
  </si>
  <si>
    <t>הרשמה מחייבת? אני חושש לטיב אתרוגים....</t>
  </si>
  <si>
    <t>מרזן</t>
  </si>
  <si>
    <t>משען</t>
  </si>
  <si>
    <t>נשר</t>
  </si>
  <si>
    <t>סאס</t>
  </si>
  <si>
    <t>נח צבי</t>
  </si>
  <si>
    <t>סגל</t>
  </si>
  <si>
    <t>אהרון</t>
  </si>
  <si>
    <t>a0548416336@gmail.com</t>
  </si>
  <si>
    <t>סתיו</t>
  </si>
  <si>
    <t>פודרביניק</t>
  </si>
  <si>
    <t>ראובן</t>
  </si>
  <si>
    <t>פויכטונגר</t>
  </si>
  <si>
    <t>פיינסוד</t>
  </si>
  <si>
    <t>פישל</t>
  </si>
  <si>
    <t>חיים דב</t>
  </si>
  <si>
    <t>פלדמן</t>
  </si>
  <si>
    <t>פלמנבוים</t>
  </si>
  <si>
    <t>מוטי</t>
  </si>
  <si>
    <t>פקטר</t>
  </si>
  <si>
    <t>פרדמן</t>
  </si>
  <si>
    <t>בנימין</t>
  </si>
  <si>
    <t>8441313@gmail.com</t>
  </si>
  <si>
    <t>פרידמן</t>
  </si>
  <si>
    <t>פריימן</t>
  </si>
  <si>
    <t>פרלין</t>
  </si>
  <si>
    <t>חיים עוזר</t>
  </si>
  <si>
    <t>chp8484@gmail.com</t>
  </si>
  <si>
    <t>יישר כוחכם!!!!!!!!!</t>
  </si>
  <si>
    <t>פרנק</t>
  </si>
  <si>
    <t>רק עם פיטם בלבד יישר כח</t>
  </si>
  <si>
    <t>פרנקוביץ</t>
  </si>
  <si>
    <t>arieh.h31@gmail.com</t>
  </si>
  <si>
    <t>פרנקרייך</t>
  </si>
  <si>
    <t>צרפתי</t>
  </si>
  <si>
    <t>אלעזר</t>
  </si>
  <si>
    <t>קאי</t>
  </si>
  <si>
    <t>גם 3 קוישקלך ו3נרתיק רגיל ללולב</t>
  </si>
  <si>
    <t>קופרמן</t>
  </si>
  <si>
    <t>נדב</t>
  </si>
  <si>
    <t>קורדיש</t>
  </si>
  <si>
    <t>קטשה</t>
  </si>
  <si>
    <t>גבריאל</t>
  </si>
  <si>
    <t>קלרמן</t>
  </si>
  <si>
    <t>קמינר</t>
  </si>
  <si>
    <t>y773575@gmail.com</t>
  </si>
  <si>
    <t>קנובל</t>
  </si>
  <si>
    <t>קנטור</t>
  </si>
  <si>
    <t>קעניג</t>
  </si>
  <si>
    <t>יענקי</t>
  </si>
  <si>
    <t>קצבורג</t>
  </si>
  <si>
    <t>מרדכי אריה</t>
  </si>
  <si>
    <t>קרביץ</t>
  </si>
  <si>
    <t>אלחנן</t>
  </si>
  <si>
    <t>קרויזר</t>
  </si>
  <si>
    <t>c657680@gmail.com</t>
  </si>
  <si>
    <t>קרוסקל</t>
  </si>
  <si>
    <t>קריזר</t>
  </si>
  <si>
    <t>אברהם אהרן</t>
  </si>
  <si>
    <t>קרפט</t>
  </si>
  <si>
    <t>יחזקאל</t>
  </si>
  <si>
    <t>ראבד</t>
  </si>
  <si>
    <t>oritr3478@gmil.com</t>
  </si>
  <si>
    <t>רבי</t>
  </si>
  <si>
    <t>malirabi77@gmail.com</t>
  </si>
  <si>
    <t>רבינוביץ</t>
  </si>
  <si>
    <t>יעקב יוסף</t>
  </si>
  <si>
    <t>רדליך</t>
  </si>
  <si>
    <t>רוזנבאום</t>
  </si>
  <si>
    <t>מתתהו</t>
  </si>
  <si>
    <t>רוזנבלט</t>
  </si>
  <si>
    <t>רוזנר</t>
  </si>
  <si>
    <t>9287482@gmail.com</t>
  </si>
  <si>
    <t>רוזנשטיין</t>
  </si>
  <si>
    <t>mosheroz4352@gmail.com</t>
  </si>
  <si>
    <t>שייעלה אוהבים אותך!!!!</t>
  </si>
  <si>
    <t>רוט</t>
  </si>
  <si>
    <t>יעקב דב</t>
  </si>
  <si>
    <t>רכניצר</t>
  </si>
  <si>
    <t>שהם</t>
  </si>
  <si>
    <t>אמתי</t>
  </si>
  <si>
    <t>a0527163911@Gmail.com</t>
  </si>
  <si>
    <t>שווארץ</t>
  </si>
  <si>
    <t>אריה יהודה</t>
  </si>
  <si>
    <t>שוורץ</t>
  </si>
  <si>
    <t>שלמה אריה</t>
  </si>
  <si>
    <t>שולץ</t>
  </si>
  <si>
    <t>שטרן</t>
  </si>
  <si>
    <t>שטרנבוך</t>
  </si>
  <si>
    <t>שמרלר</t>
  </si>
  <si>
    <t>אברהם בנימין</t>
  </si>
  <si>
    <t>שנברג</t>
  </si>
  <si>
    <t>שנדלהיים</t>
  </si>
  <si>
    <t>זבולון</t>
  </si>
  <si>
    <t>שניצר</t>
  </si>
  <si>
    <t>שעיו</t>
  </si>
  <si>
    <t>שפיאצקי</t>
  </si>
  <si>
    <t>בן ציון אריה</t>
  </si>
  <si>
    <t>3259331@gmail.com</t>
  </si>
  <si>
    <t>אני מעונין בהדסים רק אם הם בשילוש ממש ובהידור, וכן באתרוג עם פיטם בלבד.</t>
  </si>
  <si>
    <t>שפרינצלס</t>
  </si>
  <si>
    <t>s0573154470@gmail.com</t>
  </si>
  <si>
    <t>שקד</t>
  </si>
  <si>
    <t>yehuda000319@gmail.com</t>
  </si>
  <si>
    <t>אוירבך</t>
  </si>
  <si>
    <t>שאול</t>
  </si>
  <si>
    <t>SHAUL8748@GMAIL.COM</t>
  </si>
  <si>
    <t>שבתי</t>
  </si>
  <si>
    <t>אופק</t>
  </si>
  <si>
    <t>GSO0527131501@GMAIL.COM</t>
  </si>
  <si>
    <t>אורחן</t>
  </si>
  <si>
    <t>אורלנסקי</t>
  </si>
  <si>
    <t>6764639@gmail.com</t>
  </si>
  <si>
    <t>sht1217@gmail.com</t>
  </si>
  <si>
    <t>a0548418495@gmail.com</t>
  </si>
  <si>
    <t>שנה שעברה מאד נהניתי</t>
  </si>
  <si>
    <t>אליאך</t>
  </si>
  <si>
    <t>3147374@gmail.com</t>
  </si>
  <si>
    <t>אלפא</t>
  </si>
  <si>
    <t>yalpha102@gmail.com</t>
  </si>
  <si>
    <t>אנגל</t>
  </si>
  <si>
    <t>אפללו</t>
  </si>
  <si>
    <t>אלישע</t>
  </si>
  <si>
    <t>mh20@oasher.org</t>
  </si>
  <si>
    <t>אפנג'ר</t>
  </si>
  <si>
    <t>s0583267157@GMAIL.COM</t>
  </si>
  <si>
    <t>אפשטיין</t>
  </si>
  <si>
    <t>נעם</t>
  </si>
  <si>
    <t>noame8450@gmail.com</t>
  </si>
  <si>
    <t>ארנטרוי</t>
  </si>
  <si>
    <t>אם אפשר לקבל על זה קבלה זה מאוד יעזור תודה ולעשות שם שטרודל וכו'</t>
  </si>
  <si>
    <t>ארנשטיין</t>
  </si>
  <si>
    <t>באום</t>
  </si>
  <si>
    <t>שמואל מרדכי</t>
  </si>
  <si>
    <t>d8989l@gmail.com</t>
  </si>
  <si>
    <t>בוקובזה</t>
  </si>
  <si>
    <t>בירנבוים</t>
  </si>
  <si>
    <t>נתן</t>
  </si>
  <si>
    <t>בכור</t>
  </si>
  <si>
    <t>בלאט</t>
  </si>
  <si>
    <t>אשר</t>
  </si>
  <si>
    <t>בלום</t>
  </si>
  <si>
    <t>דוד יששכר</t>
  </si>
  <si>
    <t>Reuveng21@gmail.com</t>
  </si>
  <si>
    <t>בן ישי</t>
  </si>
  <si>
    <t>7163036@GMAIL.COM</t>
  </si>
  <si>
    <t>בנישו</t>
  </si>
  <si>
    <t>ברונר</t>
  </si>
  <si>
    <t>איתמר</t>
  </si>
  <si>
    <t>eb69600@gmail.com</t>
  </si>
  <si>
    <t>איתן יצחק</t>
  </si>
  <si>
    <t>גבל</t>
  </si>
  <si>
    <t>גד</t>
  </si>
  <si>
    <t>גויכמן</t>
  </si>
  <si>
    <t>goichmanyaakov@gmail.com</t>
  </si>
  <si>
    <t>גולדברג</t>
  </si>
  <si>
    <t>גולדנטל</t>
  </si>
  <si>
    <t>ברוך</t>
  </si>
  <si>
    <t>גולדשמיט</t>
  </si>
  <si>
    <t>dg9740804@gmail.com</t>
  </si>
  <si>
    <t>יהיה אפשרי לראות אם יש פיטם באתרוג המהודר א'א'?</t>
  </si>
  <si>
    <t>גולשבסקי</t>
  </si>
  <si>
    <t>r8408057@gmail.com</t>
  </si>
  <si>
    <t>גליס</t>
  </si>
  <si>
    <t>גליק</t>
  </si>
  <si>
    <t>גלר</t>
  </si>
  <si>
    <t>גנחובסקי</t>
  </si>
  <si>
    <t>shifi6178@gmail.com</t>
  </si>
  <si>
    <t>גנצרסקי</t>
  </si>
  <si>
    <t>דומב</t>
  </si>
  <si>
    <t>elidomb@gmail.com</t>
  </si>
  <si>
    <t>דינר</t>
  </si>
  <si>
    <t>ברוך חיים</t>
  </si>
  <si>
    <t>דרוק</t>
  </si>
  <si>
    <t>RAFI8976@GMAIL.COM</t>
  </si>
  <si>
    <t>הבר</t>
  </si>
  <si>
    <t>mh0527146787@gmail.com</t>
  </si>
  <si>
    <t>הורביץ</t>
  </si>
  <si>
    <t>לירז</t>
  </si>
  <si>
    <t>הורוביץ</t>
  </si>
  <si>
    <t>tsipi1452@gmail.com</t>
  </si>
  <si>
    <t>הינמן</t>
  </si>
  <si>
    <t>הרוש</t>
  </si>
  <si>
    <t>מנחם אלעזר</t>
  </si>
  <si>
    <t>0587126@gmail.com</t>
  </si>
  <si>
    <t>וולך</t>
  </si>
  <si>
    <t>וונדר</t>
  </si>
  <si>
    <t>mw0556769134@gmail.com</t>
  </si>
  <si>
    <t>ויזל</t>
  </si>
  <si>
    <t>וילמן</t>
  </si>
  <si>
    <t>וינברגר</t>
  </si>
  <si>
    <t>וינר</t>
  </si>
  <si>
    <t>ויסברג</t>
  </si>
  <si>
    <t>chaimws@gmail.com</t>
  </si>
  <si>
    <t>ויסמן</t>
  </si>
  <si>
    <t>יונתן</t>
  </si>
  <si>
    <t>וסרמן</t>
  </si>
  <si>
    <t>ורטהיימר</t>
  </si>
  <si>
    <t>אלימלך</t>
  </si>
  <si>
    <t>7604857@GMAIL.COM</t>
  </si>
  <si>
    <t>ורטהימר</t>
  </si>
  <si>
    <t>ורשנר</t>
  </si>
  <si>
    <t>זיכל</t>
  </si>
  <si>
    <t>z0583253360@gmail.com</t>
  </si>
  <si>
    <t>ייש"כ</t>
  </si>
  <si>
    <t>זף</t>
  </si>
  <si>
    <t>binyaminzeff@gmail.com</t>
  </si>
  <si>
    <t>זקבך</t>
  </si>
  <si>
    <t>יוסף אלימלך</t>
  </si>
  <si>
    <t>z0556787831@gmail.com</t>
  </si>
  <si>
    <t>mpz9744@gmail.com</t>
  </si>
  <si>
    <t>benih6523@gmail.com</t>
  </si>
  <si>
    <t>טורצקי</t>
  </si>
  <si>
    <t>צבח</t>
  </si>
  <si>
    <t>rina606045@gmail.com</t>
  </si>
  <si>
    <t>יהל</t>
  </si>
  <si>
    <t>נחום</t>
  </si>
  <si>
    <t>sh0504144785@gmail.com</t>
  </si>
  <si>
    <t>827avi@gmaul.com</t>
  </si>
  <si>
    <t>לאופר</t>
  </si>
  <si>
    <t>משה דוד</t>
  </si>
  <si>
    <t>לדרמן</t>
  </si>
  <si>
    <t>C0583235017@gmali.com</t>
  </si>
  <si>
    <t>n9744929@gmail.com</t>
  </si>
  <si>
    <t>ליברמן</t>
  </si>
  <si>
    <t>אשר חיים</t>
  </si>
  <si>
    <t>לנדאו</t>
  </si>
  <si>
    <t>שמחה</t>
  </si>
  <si>
    <t>לשינסק</t>
  </si>
  <si>
    <t>צביקי</t>
  </si>
  <si>
    <t>מארטש</t>
  </si>
  <si>
    <t>יחיאל מיכל</t>
  </si>
  <si>
    <t>מויאל</t>
  </si>
  <si>
    <t>מולר</t>
  </si>
  <si>
    <t>טופס זה הוא עדכון לטופס שכבר שלחתי ע"ש שלי.</t>
  </si>
  <si>
    <t>מור</t>
  </si>
  <si>
    <t>אמציה</t>
  </si>
  <si>
    <t>מייזלס</t>
  </si>
  <si>
    <t>מילצקי</t>
  </si>
  <si>
    <t>i0583288265@gmail.com</t>
  </si>
  <si>
    <t>מילר</t>
  </si>
  <si>
    <t>ממליה</t>
  </si>
  <si>
    <t>shm92956@gmail.com</t>
  </si>
  <si>
    <t>מן ההר</t>
  </si>
  <si>
    <t>2061010@gmail.com</t>
  </si>
  <si>
    <t>מרגליות</t>
  </si>
  <si>
    <t>רובי</t>
  </si>
  <si>
    <t>r29429@gmail.com</t>
  </si>
  <si>
    <t>לא גר בעיר</t>
  </si>
  <si>
    <t>נוטוביץ</t>
  </si>
  <si>
    <t>al.notovi@gmail.com</t>
  </si>
  <si>
    <t>נויגרשל</t>
  </si>
  <si>
    <t>shnig2@gmail.com</t>
  </si>
  <si>
    <t>סולטן</t>
  </si>
  <si>
    <t>סופר</t>
  </si>
  <si>
    <t>סמוטני</t>
  </si>
  <si>
    <t>שלמה זלמן</t>
  </si>
  <si>
    <t>es0583290603@gmail.com</t>
  </si>
  <si>
    <t>אני מעונין באתרוג דווקא עם פיטם אם יש כזו אפשרות לבחור?</t>
  </si>
  <si>
    <t>סנדרוביץ</t>
  </si>
  <si>
    <t>פורייס</t>
  </si>
  <si>
    <t>פינס</t>
  </si>
  <si>
    <t>r0548489831@gmail.com</t>
  </si>
  <si>
    <t>פיש</t>
  </si>
  <si>
    <t>a0583239982@gmail.com</t>
  </si>
  <si>
    <t>פישמן</t>
  </si>
  <si>
    <t>p0533124718@gmail.com</t>
  </si>
  <si>
    <t>פציפיצי</t>
  </si>
  <si>
    <t>אברהם זאב</t>
  </si>
  <si>
    <t>פרידלנדר</t>
  </si>
  <si>
    <t>יאיר</t>
  </si>
  <si>
    <t>yairgi656@gmail.com</t>
  </si>
  <si>
    <t>פרייס</t>
  </si>
  <si>
    <t>איסר יהודה</t>
  </si>
  <si>
    <t>chanab208@gmail.com</t>
  </si>
  <si>
    <t>צויבל</t>
  </si>
  <si>
    <t>אברהם ישעיהו</t>
  </si>
  <si>
    <t>a0527109125@gmail.com</t>
  </si>
  <si>
    <t>קיסנר</t>
  </si>
  <si>
    <t>קפלן</t>
  </si>
  <si>
    <t>קרויס</t>
  </si>
  <si>
    <t>k3178551@gmail.com</t>
  </si>
  <si>
    <t>קרנברג</t>
  </si>
  <si>
    <t>R0548523663@gmail.com</t>
  </si>
  <si>
    <t>ראם</t>
  </si>
  <si>
    <t>צבי אריה</t>
  </si>
  <si>
    <t>sr0527655546@gmail.com</t>
  </si>
  <si>
    <t>רובין</t>
  </si>
  <si>
    <t>רוברטס</t>
  </si>
  <si>
    <t>רוזנבוים</t>
  </si>
  <si>
    <t>רוס</t>
  </si>
  <si>
    <t>רייז</t>
  </si>
  <si>
    <t>בצלאל</t>
  </si>
  <si>
    <t>רייניץ</t>
  </si>
  <si>
    <t>רישי</t>
  </si>
  <si>
    <t>אביעזר</t>
  </si>
  <si>
    <t>aviezer0527665030@gmail.com</t>
  </si>
  <si>
    <t>שחור</t>
  </si>
  <si>
    <t>y0533152328@gmaij.com</t>
  </si>
  <si>
    <t>שיינהוט</t>
  </si>
  <si>
    <t>m0527143450@gmail.com</t>
  </si>
  <si>
    <t>שיפמן</t>
  </si>
  <si>
    <t>יוסי</t>
  </si>
  <si>
    <t>שפירא</t>
  </si>
  <si>
    <t>sar147612@gmail.com</t>
  </si>
  <si>
    <t>שףרף</t>
  </si>
  <si>
    <t>שקוביצקי</t>
  </si>
  <si>
    <t>4128292@gmail.com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</si>
</sst>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2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A1A0-DAF3-4599-972D-4F78CA692FB7}">
  <dimension ref="A1:Y304"/>
  <sheetViews>
    <sheetView rightToLeft="1" tabSelected="1" workbookViewId="0">
      <selection activeCell="Z1" sqref="Z1:AB1048576"/>
    </sheetView>
  </sheetViews>
  <sheetFormatPr defaultRowHeight="14.25" x14ac:dyDescent="0.2"/>
  <cols>
    <col min="1" max="1" width="15.125" bestFit="1" customWidth="1"/>
    <col min="4" max="4" width="10.875" bestFit="1" customWidth="1"/>
    <col min="8" max="25" width="9.125" style="3" bestFit="1" customWidth="1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>
        <v>45917.607372685183</v>
      </c>
      <c r="B2" t="s">
        <v>25</v>
      </c>
      <c r="C2" t="s">
        <v>26</v>
      </c>
      <c r="D2" t="str">
        <f>"0504173777"</f>
        <v>0504173777</v>
      </c>
      <c r="H2" s="3" t="s">
        <v>27</v>
      </c>
      <c r="I2" s="3" t="s">
        <v>27</v>
      </c>
      <c r="J2" s="3">
        <v>1</v>
      </c>
      <c r="K2" s="3">
        <v>1</v>
      </c>
      <c r="L2" s="3">
        <v>1</v>
      </c>
      <c r="M2" s="3" t="s">
        <v>27</v>
      </c>
      <c r="N2" s="3" t="s">
        <v>27</v>
      </c>
      <c r="O2" s="3" t="s">
        <v>27</v>
      </c>
      <c r="P2" s="3" t="s">
        <v>27</v>
      </c>
      <c r="Q2" s="3">
        <v>1</v>
      </c>
      <c r="R2" s="3">
        <v>2</v>
      </c>
      <c r="S2" s="3">
        <v>1</v>
      </c>
      <c r="T2" s="3" t="s">
        <v>27</v>
      </c>
      <c r="U2" s="3">
        <v>2</v>
      </c>
      <c r="V2" s="3" t="s">
        <v>27</v>
      </c>
      <c r="W2" s="3">
        <v>1</v>
      </c>
      <c r="X2" s="3">
        <v>2</v>
      </c>
      <c r="Y2" s="3" t="s">
        <v>27</v>
      </c>
    </row>
    <row r="3" spans="1:25" x14ac:dyDescent="0.2">
      <c r="A3" s="2">
        <v>45916.895787037036</v>
      </c>
      <c r="B3" t="s">
        <v>28</v>
      </c>
      <c r="C3" t="s">
        <v>29</v>
      </c>
      <c r="D3" t="str">
        <f>"0527182152"</f>
        <v>0527182152</v>
      </c>
      <c r="E3" t="str">
        <f>"0583224582"</f>
        <v>0583224582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>
        <v>1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27</v>
      </c>
    </row>
    <row r="4" spans="1:25" x14ac:dyDescent="0.2">
      <c r="A4" s="2">
        <v>45915.376770833333</v>
      </c>
      <c r="B4" t="s">
        <v>30</v>
      </c>
      <c r="C4" t="s">
        <v>31</v>
      </c>
      <c r="D4" t="str">
        <f>"0548430842"</f>
        <v>0548430842</v>
      </c>
      <c r="H4" s="3">
        <v>1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>
        <v>1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  <c r="Y4" s="3" t="s">
        <v>27</v>
      </c>
    </row>
    <row r="5" spans="1:25" x14ac:dyDescent="0.2">
      <c r="A5" s="2">
        <v>45916.423692129632</v>
      </c>
      <c r="B5" t="s">
        <v>32</v>
      </c>
      <c r="C5" t="s">
        <v>33</v>
      </c>
      <c r="D5" t="str">
        <f>"0527122379"</f>
        <v>0527122379</v>
      </c>
      <c r="H5" s="3">
        <v>3</v>
      </c>
      <c r="I5" s="3">
        <v>1</v>
      </c>
      <c r="J5" s="3" t="s">
        <v>27</v>
      </c>
      <c r="K5" s="3">
        <v>1</v>
      </c>
      <c r="L5" s="3" t="s">
        <v>27</v>
      </c>
      <c r="M5" s="3" t="s">
        <v>27</v>
      </c>
      <c r="N5" s="3" t="s">
        <v>27</v>
      </c>
      <c r="O5" s="3">
        <v>4</v>
      </c>
      <c r="P5" s="3" t="s">
        <v>27</v>
      </c>
      <c r="Q5" s="3" t="s">
        <v>27</v>
      </c>
      <c r="R5" s="3">
        <v>2</v>
      </c>
      <c r="S5" s="3">
        <v>4</v>
      </c>
      <c r="T5" s="3" t="s">
        <v>27</v>
      </c>
      <c r="U5" s="3">
        <v>1</v>
      </c>
      <c r="V5" s="3" t="s">
        <v>27</v>
      </c>
      <c r="W5" s="3" t="s">
        <v>27</v>
      </c>
      <c r="X5" s="3" t="s">
        <v>27</v>
      </c>
      <c r="Y5" s="3" t="s">
        <v>27</v>
      </c>
    </row>
    <row r="6" spans="1:25" x14ac:dyDescent="0.2">
      <c r="A6" s="2">
        <v>45916.419629629629</v>
      </c>
      <c r="B6" t="s">
        <v>32</v>
      </c>
      <c r="C6" t="s">
        <v>34</v>
      </c>
      <c r="D6" t="str">
        <f>"0527122379"</f>
        <v>0527122379</v>
      </c>
      <c r="H6" s="3">
        <v>2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>
        <v>2</v>
      </c>
      <c r="O6" s="3" t="s">
        <v>27</v>
      </c>
      <c r="P6" s="3" t="s">
        <v>27</v>
      </c>
      <c r="Q6" s="3" t="s">
        <v>27</v>
      </c>
      <c r="R6" s="3" t="s">
        <v>27</v>
      </c>
      <c r="S6" s="3">
        <v>2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27</v>
      </c>
    </row>
    <row r="7" spans="1:25" x14ac:dyDescent="0.2">
      <c r="A7" s="2">
        <v>45917.026018518518</v>
      </c>
      <c r="B7" t="s">
        <v>32</v>
      </c>
      <c r="C7" t="s">
        <v>35</v>
      </c>
      <c r="D7" t="str">
        <f>"0556707370"</f>
        <v>0556707370</v>
      </c>
      <c r="H7" s="3" t="s">
        <v>27</v>
      </c>
      <c r="I7" s="3" t="s">
        <v>27</v>
      </c>
      <c r="J7" s="3" t="s">
        <v>27</v>
      </c>
      <c r="K7" s="3" t="s">
        <v>27</v>
      </c>
      <c r="L7" s="3">
        <v>1</v>
      </c>
      <c r="M7" s="3" t="s">
        <v>27</v>
      </c>
      <c r="N7" s="3">
        <v>1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27</v>
      </c>
    </row>
    <row r="8" spans="1:25" x14ac:dyDescent="0.2">
      <c r="A8" s="2">
        <v>45916.910671296297</v>
      </c>
      <c r="B8" t="s">
        <v>32</v>
      </c>
      <c r="C8" t="s">
        <v>36</v>
      </c>
      <c r="D8" t="str">
        <f>"0548402998"</f>
        <v>0548402998</v>
      </c>
      <c r="E8" t="str">
        <f>"0548402999"</f>
        <v>0548402999</v>
      </c>
      <c r="H8" s="3">
        <v>1</v>
      </c>
      <c r="I8" s="3">
        <v>1</v>
      </c>
      <c r="J8" s="3">
        <v>1</v>
      </c>
      <c r="K8" s="3" t="s">
        <v>27</v>
      </c>
      <c r="L8" s="3" t="s">
        <v>27</v>
      </c>
      <c r="M8" s="3">
        <v>1</v>
      </c>
      <c r="N8" s="3">
        <v>1</v>
      </c>
      <c r="O8" s="3">
        <v>2</v>
      </c>
      <c r="P8" s="3">
        <v>1</v>
      </c>
      <c r="Q8" s="3" t="s">
        <v>27</v>
      </c>
      <c r="R8" s="3" t="s">
        <v>27</v>
      </c>
      <c r="S8" s="3">
        <v>4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27</v>
      </c>
    </row>
    <row r="9" spans="1:25" x14ac:dyDescent="0.2">
      <c r="A9" s="2">
        <v>45915.987164351849</v>
      </c>
      <c r="B9" t="s">
        <v>37</v>
      </c>
      <c r="C9" t="s">
        <v>38</v>
      </c>
      <c r="D9" t="str">
        <f>"0504199131"</f>
        <v>0504199131</v>
      </c>
      <c r="H9" s="3" t="s">
        <v>27</v>
      </c>
      <c r="I9" s="3" t="s">
        <v>27</v>
      </c>
      <c r="J9" s="3" t="s">
        <v>27</v>
      </c>
      <c r="K9" s="3" t="s">
        <v>27</v>
      </c>
      <c r="L9" s="3">
        <v>1</v>
      </c>
      <c r="M9" s="3" t="s">
        <v>27</v>
      </c>
      <c r="N9" s="3">
        <v>1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1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  <c r="Y9" s="3" t="s">
        <v>27</v>
      </c>
    </row>
    <row r="10" spans="1:25" x14ac:dyDescent="0.2">
      <c r="A10" s="2">
        <v>45915.005462962959</v>
      </c>
      <c r="B10" t="s">
        <v>39</v>
      </c>
      <c r="C10" t="s">
        <v>40</v>
      </c>
      <c r="D10" t="str">
        <f>"0533122914"</f>
        <v>0533122914</v>
      </c>
      <c r="H10" s="3">
        <v>1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  <c r="Y10" s="3" t="s">
        <v>27</v>
      </c>
    </row>
    <row r="11" spans="1:25" x14ac:dyDescent="0.2">
      <c r="A11" s="2">
        <v>45915.437581018516</v>
      </c>
      <c r="B11" t="s">
        <v>41</v>
      </c>
      <c r="C11" t="s">
        <v>42</v>
      </c>
      <c r="D11" t="str">
        <f>"0548474247"</f>
        <v>0548474247</v>
      </c>
      <c r="E11" t="str">
        <f>"0548466124"</f>
        <v>0548466124</v>
      </c>
      <c r="F11" t="s">
        <v>43</v>
      </c>
      <c r="H11" s="3">
        <v>1</v>
      </c>
      <c r="I11" s="3">
        <v>3</v>
      </c>
      <c r="J11" s="3">
        <v>1</v>
      </c>
      <c r="K11" s="3" t="s">
        <v>27</v>
      </c>
      <c r="L11" s="3" t="s">
        <v>27</v>
      </c>
      <c r="M11" s="3" t="s">
        <v>27</v>
      </c>
      <c r="N11" s="3">
        <v>1</v>
      </c>
      <c r="O11" s="3">
        <v>3</v>
      </c>
      <c r="P11" s="3">
        <v>1</v>
      </c>
      <c r="Q11" s="3" t="s">
        <v>27</v>
      </c>
      <c r="R11" s="3" t="s">
        <v>27</v>
      </c>
      <c r="S11" s="3">
        <v>5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27</v>
      </c>
    </row>
    <row r="12" spans="1:25" x14ac:dyDescent="0.2">
      <c r="A12" s="2">
        <v>45915.514351851853</v>
      </c>
      <c r="B12" t="s">
        <v>44</v>
      </c>
      <c r="C12" t="s">
        <v>45</v>
      </c>
      <c r="D12" t="str">
        <f>"0527664881"</f>
        <v>0527664881</v>
      </c>
      <c r="H12" s="3">
        <v>1</v>
      </c>
      <c r="I12" s="3" t="s">
        <v>27</v>
      </c>
      <c r="J12" s="3">
        <v>2</v>
      </c>
      <c r="K12" s="3">
        <v>2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27</v>
      </c>
    </row>
    <row r="13" spans="1:25" x14ac:dyDescent="0.2">
      <c r="A13" s="2">
        <v>45915.877534722225</v>
      </c>
      <c r="B13" t="s">
        <v>46</v>
      </c>
      <c r="C13" t="s">
        <v>47</v>
      </c>
      <c r="D13" t="str">
        <f>"0548479749"</f>
        <v>0548479749</v>
      </c>
      <c r="H13" s="3" t="s">
        <v>27</v>
      </c>
      <c r="I13" s="3" t="s">
        <v>27</v>
      </c>
      <c r="J13" s="3" t="s">
        <v>27</v>
      </c>
      <c r="K13" s="3">
        <v>2</v>
      </c>
      <c r="L13" s="3" t="s">
        <v>27</v>
      </c>
      <c r="M13" s="3">
        <v>3</v>
      </c>
      <c r="N13" s="3">
        <v>1</v>
      </c>
      <c r="O13" s="3" t="s">
        <v>27</v>
      </c>
      <c r="P13" s="3">
        <v>2</v>
      </c>
      <c r="Q13" s="3" t="s">
        <v>27</v>
      </c>
      <c r="R13" s="3">
        <v>2</v>
      </c>
      <c r="S13" s="3">
        <v>1</v>
      </c>
      <c r="T13" s="3">
        <v>2</v>
      </c>
      <c r="U13" s="3">
        <v>2</v>
      </c>
      <c r="V13" s="3" t="s">
        <v>27</v>
      </c>
      <c r="W13" s="3">
        <v>1</v>
      </c>
      <c r="X13" s="3" t="s">
        <v>27</v>
      </c>
      <c r="Y13" s="3" t="s">
        <v>27</v>
      </c>
    </row>
    <row r="14" spans="1:25" x14ac:dyDescent="0.2">
      <c r="A14" s="2">
        <v>45909.738287037035</v>
      </c>
      <c r="B14" t="s">
        <v>48</v>
      </c>
      <c r="C14" t="s">
        <v>40</v>
      </c>
      <c r="D14" t="str">
        <f>"0527607832"</f>
        <v>0527607832</v>
      </c>
      <c r="E14" t="str">
        <f>"0527615832"</f>
        <v>0527615832</v>
      </c>
      <c r="F14" t="s">
        <v>49</v>
      </c>
      <c r="H14" s="3" t="s">
        <v>27</v>
      </c>
      <c r="I14" s="3" t="s">
        <v>27</v>
      </c>
      <c r="J14" s="3" t="s">
        <v>27</v>
      </c>
      <c r="K14" s="3">
        <v>1</v>
      </c>
      <c r="L14" s="3">
        <v>1</v>
      </c>
      <c r="M14" s="3" t="s">
        <v>27</v>
      </c>
      <c r="N14" s="3">
        <v>1</v>
      </c>
      <c r="O14" s="3" t="s">
        <v>27</v>
      </c>
      <c r="P14" s="3">
        <v>2</v>
      </c>
      <c r="Q14" s="3" t="s">
        <v>27</v>
      </c>
      <c r="R14" s="3">
        <v>1</v>
      </c>
      <c r="S14" s="3">
        <v>1</v>
      </c>
      <c r="T14" s="3">
        <v>2</v>
      </c>
      <c r="U14" s="3">
        <v>1</v>
      </c>
      <c r="V14" s="3" t="s">
        <v>27</v>
      </c>
      <c r="W14" s="3" t="s">
        <v>27</v>
      </c>
      <c r="X14" s="3" t="s">
        <v>27</v>
      </c>
      <c r="Y14" s="3">
        <v>3</v>
      </c>
    </row>
    <row r="15" spans="1:25" x14ac:dyDescent="0.2">
      <c r="A15" s="2">
        <v>45918.605057870373</v>
      </c>
      <c r="B15" t="s">
        <v>50</v>
      </c>
      <c r="C15" t="s">
        <v>51</v>
      </c>
      <c r="D15" t="str">
        <f>"0527655536"</f>
        <v>0527655536</v>
      </c>
      <c r="H15" s="3" t="s">
        <v>27</v>
      </c>
      <c r="I15" s="3" t="s">
        <v>27</v>
      </c>
      <c r="J15" s="3" t="s">
        <v>27</v>
      </c>
      <c r="K15" s="3" t="s">
        <v>27</v>
      </c>
      <c r="L15" s="3">
        <v>4</v>
      </c>
      <c r="M15" s="3" t="s">
        <v>27</v>
      </c>
      <c r="N15" s="3" t="s">
        <v>27</v>
      </c>
      <c r="O15" s="3" t="s">
        <v>27</v>
      </c>
      <c r="P15" s="3" t="s">
        <v>27</v>
      </c>
      <c r="Q15" s="3">
        <v>4</v>
      </c>
      <c r="R15" s="3" t="s">
        <v>27</v>
      </c>
      <c r="S15" s="3" t="s">
        <v>27</v>
      </c>
      <c r="T15" s="3">
        <v>4</v>
      </c>
      <c r="U15" s="3" t="s">
        <v>27</v>
      </c>
      <c r="V15" s="3" t="s">
        <v>27</v>
      </c>
      <c r="W15" s="3" t="s">
        <v>27</v>
      </c>
      <c r="X15" s="3" t="s">
        <v>27</v>
      </c>
      <c r="Y15" s="3" t="s">
        <v>27</v>
      </c>
    </row>
    <row r="16" spans="1:25" x14ac:dyDescent="0.2">
      <c r="A16" s="2">
        <v>45918.78056712963</v>
      </c>
      <c r="B16" t="s">
        <v>52</v>
      </c>
      <c r="C16" t="s">
        <v>53</v>
      </c>
      <c r="D16" t="str">
        <f>"0583292975"</f>
        <v>0583292975</v>
      </c>
      <c r="H16" s="3">
        <v>1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>
        <v>1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  <c r="Y16" s="3" t="s">
        <v>27</v>
      </c>
    </row>
    <row r="17" spans="1:25" x14ac:dyDescent="0.2">
      <c r="A17" s="2">
        <v>45916.053055555552</v>
      </c>
      <c r="B17" t="s">
        <v>52</v>
      </c>
      <c r="C17" t="s">
        <v>54</v>
      </c>
      <c r="D17" t="str">
        <f>"0556790331"</f>
        <v>0556790331</v>
      </c>
      <c r="E17" t="str">
        <f>"0548474185"</f>
        <v>0548474185</v>
      </c>
      <c r="H17" s="3" t="s">
        <v>27</v>
      </c>
      <c r="I17" s="3">
        <v>1</v>
      </c>
      <c r="J17" s="3" t="s">
        <v>27</v>
      </c>
      <c r="K17" s="3">
        <v>1</v>
      </c>
      <c r="L17" s="3" t="s">
        <v>27</v>
      </c>
      <c r="M17" s="3" t="s">
        <v>27</v>
      </c>
      <c r="N17" s="3">
        <v>1</v>
      </c>
      <c r="O17" s="3" t="s">
        <v>27</v>
      </c>
      <c r="P17" s="3" t="s">
        <v>27</v>
      </c>
      <c r="Q17" s="3" t="s">
        <v>27</v>
      </c>
      <c r="R17" s="3">
        <v>1</v>
      </c>
      <c r="S17" s="3">
        <v>1</v>
      </c>
      <c r="T17" s="3" t="s">
        <v>27</v>
      </c>
      <c r="U17" s="3">
        <v>1</v>
      </c>
      <c r="V17" s="3" t="s">
        <v>27</v>
      </c>
      <c r="W17" s="3" t="s">
        <v>27</v>
      </c>
      <c r="X17" s="3" t="s">
        <v>27</v>
      </c>
      <c r="Y17" s="3" t="s">
        <v>27</v>
      </c>
    </row>
    <row r="18" spans="1:25" x14ac:dyDescent="0.2">
      <c r="A18" s="2">
        <v>45914.971331018518</v>
      </c>
      <c r="B18" t="s">
        <v>55</v>
      </c>
      <c r="C18" t="s">
        <v>56</v>
      </c>
      <c r="D18" t="str">
        <f>"0527677140"</f>
        <v>0527677140</v>
      </c>
      <c r="H18" s="3" t="s">
        <v>27</v>
      </c>
      <c r="I18" s="3" t="s">
        <v>27</v>
      </c>
      <c r="J18" s="3" t="s">
        <v>27</v>
      </c>
      <c r="K18" s="3" t="s">
        <v>27</v>
      </c>
      <c r="L18" s="3">
        <v>1</v>
      </c>
      <c r="M18" s="3">
        <v>2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>
        <v>3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  <c r="Y18" s="3" t="s">
        <v>27</v>
      </c>
    </row>
    <row r="19" spans="1:25" x14ac:dyDescent="0.2">
      <c r="A19" s="2">
        <v>45915.897800925923</v>
      </c>
      <c r="B19" t="s">
        <v>55</v>
      </c>
      <c r="C19" t="s">
        <v>57</v>
      </c>
      <c r="D19" t="str">
        <f>"0527121413"</f>
        <v>0527121413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>
        <v>1</v>
      </c>
      <c r="O19" s="3" t="s">
        <v>27</v>
      </c>
      <c r="P19" s="3" t="s">
        <v>27</v>
      </c>
      <c r="Q19" s="3" t="s">
        <v>27</v>
      </c>
      <c r="R19" s="3" t="s">
        <v>27</v>
      </c>
      <c r="S19" s="3">
        <v>1</v>
      </c>
      <c r="T19" s="3" t="s">
        <v>27</v>
      </c>
      <c r="U19" s="3" t="s">
        <v>27</v>
      </c>
      <c r="V19" s="3" t="s">
        <v>27</v>
      </c>
      <c r="W19" s="3">
        <v>1</v>
      </c>
      <c r="X19" s="3" t="s">
        <v>27</v>
      </c>
      <c r="Y19" s="3" t="s">
        <v>27</v>
      </c>
    </row>
    <row r="20" spans="1:25" x14ac:dyDescent="0.2">
      <c r="A20" s="2">
        <v>45916.963634259257</v>
      </c>
      <c r="B20" t="s">
        <v>55</v>
      </c>
      <c r="C20" t="s">
        <v>58</v>
      </c>
      <c r="D20" t="str">
        <f>"0527121413"</f>
        <v>0527121413</v>
      </c>
      <c r="H20" s="3">
        <v>4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>
        <v>4</v>
      </c>
      <c r="O20" s="3" t="s">
        <v>27</v>
      </c>
      <c r="P20" s="3" t="s">
        <v>27</v>
      </c>
      <c r="Q20" s="3" t="s">
        <v>27</v>
      </c>
      <c r="R20" s="3" t="s">
        <v>27</v>
      </c>
      <c r="S20" s="3">
        <v>4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  <c r="Y20" s="3" t="s">
        <v>27</v>
      </c>
    </row>
    <row r="21" spans="1:25" x14ac:dyDescent="0.2">
      <c r="A21" s="2">
        <v>45908.914837962962</v>
      </c>
      <c r="B21" t="s">
        <v>59</v>
      </c>
      <c r="C21" t="s">
        <v>60</v>
      </c>
      <c r="D21" t="str">
        <f>"0548430739"</f>
        <v>0548430739</v>
      </c>
      <c r="E21" t="str">
        <f>"0556707332"</f>
        <v>0556707332</v>
      </c>
      <c r="G21" t="s">
        <v>61</v>
      </c>
      <c r="H21" s="3">
        <v>1</v>
      </c>
      <c r="I21" s="3" t="s">
        <v>27</v>
      </c>
      <c r="J21" s="3">
        <v>1</v>
      </c>
      <c r="K21" s="3">
        <v>1</v>
      </c>
      <c r="L21" s="3">
        <v>1</v>
      </c>
      <c r="M21" s="3" t="s">
        <v>27</v>
      </c>
      <c r="N21" s="3">
        <v>2</v>
      </c>
      <c r="O21" s="3" t="s">
        <v>27</v>
      </c>
      <c r="P21" s="3">
        <v>1</v>
      </c>
      <c r="Q21" s="3" t="s">
        <v>27</v>
      </c>
      <c r="R21" s="3">
        <v>1</v>
      </c>
      <c r="S21" s="3">
        <v>3</v>
      </c>
      <c r="T21" s="3" t="s">
        <v>27</v>
      </c>
      <c r="U21" s="3">
        <v>1</v>
      </c>
      <c r="V21" s="3" t="s">
        <v>27</v>
      </c>
      <c r="W21" s="3" t="s">
        <v>27</v>
      </c>
      <c r="X21" s="3" t="s">
        <v>27</v>
      </c>
      <c r="Y21" s="3" t="s">
        <v>27</v>
      </c>
    </row>
    <row r="22" spans="1:25" x14ac:dyDescent="0.2">
      <c r="A22" s="2">
        <v>45916.997523148151</v>
      </c>
      <c r="B22" t="s">
        <v>59</v>
      </c>
      <c r="C22" t="s">
        <v>62</v>
      </c>
      <c r="D22" t="str">
        <f>"0548484461"</f>
        <v>0548484461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>
        <v>1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  <c r="Y22" s="3" t="s">
        <v>27</v>
      </c>
    </row>
    <row r="23" spans="1:25" x14ac:dyDescent="0.2">
      <c r="A23" s="2">
        <v>45914.897465277776</v>
      </c>
      <c r="B23" t="s">
        <v>63</v>
      </c>
      <c r="C23" t="s">
        <v>64</v>
      </c>
      <c r="D23" t="str">
        <f>"089233078"</f>
        <v>089233078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>
        <v>1</v>
      </c>
      <c r="T23" s="3" t="s">
        <v>27</v>
      </c>
      <c r="U23" s="3" t="s">
        <v>27</v>
      </c>
      <c r="V23" s="3" t="s">
        <v>27</v>
      </c>
      <c r="W23" s="3" t="s">
        <v>27</v>
      </c>
      <c r="X23" s="3">
        <v>1</v>
      </c>
      <c r="Y23" s="3" t="s">
        <v>27</v>
      </c>
    </row>
    <row r="24" spans="1:25" x14ac:dyDescent="0.2">
      <c r="A24" s="2">
        <v>45913.922488425924</v>
      </c>
      <c r="B24" t="s">
        <v>65</v>
      </c>
      <c r="C24" t="s">
        <v>66</v>
      </c>
      <c r="D24" t="str">
        <f>"0527176468"</f>
        <v>0527176468</v>
      </c>
      <c r="E24" t="str">
        <f>"086341153"</f>
        <v>086341153</v>
      </c>
      <c r="H24" s="3">
        <v>2</v>
      </c>
      <c r="I24" s="3">
        <v>1</v>
      </c>
      <c r="J24" s="3">
        <v>1</v>
      </c>
      <c r="K24" s="3" t="s">
        <v>27</v>
      </c>
      <c r="L24" s="3" t="s">
        <v>27</v>
      </c>
      <c r="M24" s="3" t="s">
        <v>27</v>
      </c>
      <c r="N24" s="3">
        <v>2</v>
      </c>
      <c r="O24" s="3" t="s">
        <v>27</v>
      </c>
      <c r="P24" s="3">
        <v>2</v>
      </c>
      <c r="Q24" s="3" t="s">
        <v>27</v>
      </c>
      <c r="R24" s="3" t="s">
        <v>27</v>
      </c>
      <c r="S24" s="3" t="s">
        <v>27</v>
      </c>
      <c r="T24" s="3">
        <v>1</v>
      </c>
      <c r="U24" s="3" t="s">
        <v>27</v>
      </c>
      <c r="V24" s="3">
        <v>3</v>
      </c>
      <c r="W24" s="3" t="s">
        <v>27</v>
      </c>
      <c r="X24" s="3" t="s">
        <v>27</v>
      </c>
      <c r="Y24" s="3" t="s">
        <v>27</v>
      </c>
    </row>
    <row r="25" spans="1:25" x14ac:dyDescent="0.2">
      <c r="A25" s="2">
        <v>45914.527395833335</v>
      </c>
      <c r="B25" t="s">
        <v>67</v>
      </c>
      <c r="C25" t="s">
        <v>68</v>
      </c>
      <c r="D25" t="str">
        <f>"089760073"</f>
        <v>089760073</v>
      </c>
      <c r="E25" t="str">
        <f>"0527667612"</f>
        <v>0527667612</v>
      </c>
      <c r="F25" t="s">
        <v>69</v>
      </c>
      <c r="H25" s="3" t="s">
        <v>27</v>
      </c>
      <c r="I25" s="3">
        <v>3</v>
      </c>
      <c r="J25" s="3">
        <v>1</v>
      </c>
      <c r="K25" s="3" t="s">
        <v>27</v>
      </c>
      <c r="L25" s="3" t="s">
        <v>27</v>
      </c>
      <c r="M25" s="3" t="s">
        <v>27</v>
      </c>
      <c r="N25" s="3">
        <v>1</v>
      </c>
      <c r="O25" s="3">
        <v>2</v>
      </c>
      <c r="P25" s="3">
        <v>1</v>
      </c>
      <c r="Q25" s="3" t="s">
        <v>27</v>
      </c>
      <c r="R25" s="3" t="s">
        <v>27</v>
      </c>
      <c r="S25" s="3">
        <v>1</v>
      </c>
      <c r="T25" s="3">
        <v>3</v>
      </c>
      <c r="U25" s="3" t="s">
        <v>27</v>
      </c>
      <c r="V25" s="3" t="s">
        <v>27</v>
      </c>
      <c r="W25" s="3" t="s">
        <v>27</v>
      </c>
      <c r="X25" s="3">
        <v>4</v>
      </c>
      <c r="Y25" s="3" t="s">
        <v>27</v>
      </c>
    </row>
    <row r="26" spans="1:25" x14ac:dyDescent="0.2">
      <c r="A26" s="2">
        <v>45917.589780092596</v>
      </c>
      <c r="B26" t="s">
        <v>70</v>
      </c>
      <c r="C26" t="s">
        <v>71</v>
      </c>
      <c r="D26" t="str">
        <f>"0527122269"</f>
        <v>0527122269</v>
      </c>
      <c r="H26" s="3">
        <v>1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>
        <v>1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27</v>
      </c>
    </row>
    <row r="27" spans="1:25" x14ac:dyDescent="0.2">
      <c r="A27" s="2">
        <v>45909.027488425927</v>
      </c>
      <c r="B27" t="s">
        <v>70</v>
      </c>
      <c r="C27" t="s">
        <v>72</v>
      </c>
      <c r="D27" t="str">
        <f>"0527612483"</f>
        <v>0527612483</v>
      </c>
      <c r="F27" t="s">
        <v>73</v>
      </c>
      <c r="H27" s="3">
        <v>2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>
        <v>2</v>
      </c>
      <c r="O27" s="3" t="s">
        <v>27</v>
      </c>
      <c r="P27" s="3" t="s">
        <v>27</v>
      </c>
      <c r="Q27" s="3" t="s">
        <v>27</v>
      </c>
      <c r="R27" s="3" t="s">
        <v>27</v>
      </c>
      <c r="S27" s="3">
        <v>2</v>
      </c>
      <c r="T27" s="3" t="s">
        <v>27</v>
      </c>
      <c r="U27" s="3" t="s">
        <v>27</v>
      </c>
      <c r="V27" s="3">
        <v>2</v>
      </c>
      <c r="W27" s="3" t="s">
        <v>27</v>
      </c>
      <c r="X27" s="3">
        <v>1</v>
      </c>
      <c r="Y27" s="3" t="s">
        <v>27</v>
      </c>
    </row>
    <row r="28" spans="1:25" x14ac:dyDescent="0.2">
      <c r="A28" s="2">
        <v>45913.848101851851</v>
      </c>
      <c r="B28" t="s">
        <v>74</v>
      </c>
      <c r="C28" t="s">
        <v>54</v>
      </c>
      <c r="D28" t="str">
        <f>"0533156123"</f>
        <v>0533156123</v>
      </c>
      <c r="E28" t="str">
        <f>"0534158619"</f>
        <v>0534158619</v>
      </c>
      <c r="F28" t="s">
        <v>75</v>
      </c>
      <c r="H28" s="3">
        <v>4</v>
      </c>
      <c r="I28" s="3">
        <v>1</v>
      </c>
      <c r="J28" s="3" t="s">
        <v>27</v>
      </c>
      <c r="K28" s="3" t="s">
        <v>27</v>
      </c>
      <c r="L28" s="3" t="s">
        <v>27</v>
      </c>
      <c r="M28" s="3" t="s">
        <v>27</v>
      </c>
      <c r="N28" s="3">
        <v>4</v>
      </c>
      <c r="O28" s="3">
        <v>1</v>
      </c>
      <c r="P28" s="3" t="s">
        <v>27</v>
      </c>
      <c r="Q28" s="3" t="s">
        <v>27</v>
      </c>
      <c r="R28" s="3" t="s">
        <v>27</v>
      </c>
      <c r="S28" s="3">
        <v>1</v>
      </c>
      <c r="T28" s="3" t="s">
        <v>27</v>
      </c>
      <c r="U28" s="3" t="s">
        <v>27</v>
      </c>
      <c r="V28" s="3">
        <v>3</v>
      </c>
      <c r="W28" s="3">
        <v>1</v>
      </c>
      <c r="X28" s="3" t="s">
        <v>27</v>
      </c>
      <c r="Y28" s="3" t="s">
        <v>27</v>
      </c>
    </row>
    <row r="29" spans="1:25" x14ac:dyDescent="0.2">
      <c r="A29" s="2">
        <v>45911.948831018519</v>
      </c>
      <c r="B29" t="s">
        <v>76</v>
      </c>
      <c r="C29" t="s">
        <v>40</v>
      </c>
      <c r="D29" t="str">
        <f>"0527901058"</f>
        <v>0527901058</v>
      </c>
      <c r="H29" s="3" t="s">
        <v>27</v>
      </c>
      <c r="I29" s="3">
        <v>1</v>
      </c>
      <c r="J29" s="3">
        <v>1</v>
      </c>
      <c r="K29" s="3" t="s">
        <v>27</v>
      </c>
      <c r="L29" s="3" t="s">
        <v>27</v>
      </c>
      <c r="M29" s="3" t="s">
        <v>27</v>
      </c>
      <c r="N29" s="3">
        <v>1</v>
      </c>
      <c r="O29" s="3">
        <v>1</v>
      </c>
      <c r="P29" s="3">
        <v>1</v>
      </c>
      <c r="Q29" s="3" t="s">
        <v>27</v>
      </c>
      <c r="R29" s="3" t="s">
        <v>27</v>
      </c>
      <c r="S29" s="3">
        <v>2</v>
      </c>
      <c r="T29" s="3">
        <v>1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27</v>
      </c>
    </row>
    <row r="30" spans="1:25" x14ac:dyDescent="0.2">
      <c r="A30" s="2">
        <v>45917.577488425923</v>
      </c>
      <c r="B30" t="s">
        <v>76</v>
      </c>
      <c r="C30" t="s">
        <v>29</v>
      </c>
      <c r="D30" t="str">
        <f>"0533111071"</f>
        <v>0533111071</v>
      </c>
      <c r="H30" s="3" t="s">
        <v>27</v>
      </c>
      <c r="I30" s="3" t="s">
        <v>27</v>
      </c>
      <c r="J30" s="3" t="s">
        <v>27</v>
      </c>
      <c r="K30" s="3" t="s">
        <v>27</v>
      </c>
      <c r="L30" s="3">
        <v>1</v>
      </c>
      <c r="M30" s="3">
        <v>2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1</v>
      </c>
      <c r="T30" s="3">
        <v>2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27</v>
      </c>
    </row>
    <row r="31" spans="1:25" x14ac:dyDescent="0.2">
      <c r="A31" s="2">
        <v>45916.767476851855</v>
      </c>
      <c r="B31" t="s">
        <v>77</v>
      </c>
      <c r="C31" t="s">
        <v>56</v>
      </c>
      <c r="D31" t="str">
        <f>"0533136597"</f>
        <v>0533136597</v>
      </c>
      <c r="E31" t="str">
        <f>"0548538807"</f>
        <v>0548538807</v>
      </c>
      <c r="H31" s="3" t="s">
        <v>27</v>
      </c>
      <c r="I31" s="3" t="s">
        <v>27</v>
      </c>
      <c r="J31" s="3" t="s">
        <v>27</v>
      </c>
      <c r="K31" s="3">
        <v>1</v>
      </c>
      <c r="L31" s="3" t="s">
        <v>27</v>
      </c>
      <c r="M31" s="3" t="s">
        <v>27</v>
      </c>
      <c r="N31" s="3">
        <v>3</v>
      </c>
      <c r="O31" s="3" t="s">
        <v>27</v>
      </c>
      <c r="P31" s="3" t="s">
        <v>27</v>
      </c>
      <c r="Q31" s="3" t="s">
        <v>27</v>
      </c>
      <c r="R31" s="3">
        <v>1</v>
      </c>
      <c r="S31" s="3">
        <v>2</v>
      </c>
      <c r="T31" s="3" t="s">
        <v>27</v>
      </c>
      <c r="U31" s="3">
        <v>1</v>
      </c>
      <c r="V31" s="3" t="s">
        <v>27</v>
      </c>
      <c r="W31" s="3" t="s">
        <v>27</v>
      </c>
      <c r="X31" s="3" t="s">
        <v>27</v>
      </c>
      <c r="Y31" s="3" t="s">
        <v>27</v>
      </c>
    </row>
    <row r="32" spans="1:25" x14ac:dyDescent="0.2">
      <c r="A32" s="2">
        <v>45910.454791666663</v>
      </c>
      <c r="B32" t="s">
        <v>78</v>
      </c>
      <c r="C32" t="s">
        <v>31</v>
      </c>
      <c r="D32" t="str">
        <f>"0527614713"</f>
        <v>0527614713</v>
      </c>
      <c r="H32" s="3" t="s">
        <v>27</v>
      </c>
      <c r="I32" s="3" t="s">
        <v>27</v>
      </c>
      <c r="J32" s="3" t="s">
        <v>27</v>
      </c>
      <c r="K32" s="3">
        <v>1</v>
      </c>
      <c r="L32" s="3">
        <v>1</v>
      </c>
      <c r="M32" s="3" t="s">
        <v>27</v>
      </c>
      <c r="N32" s="3">
        <v>1</v>
      </c>
      <c r="O32" s="3" t="s">
        <v>27</v>
      </c>
      <c r="P32" s="3" t="s">
        <v>27</v>
      </c>
      <c r="Q32" s="3" t="s">
        <v>27</v>
      </c>
      <c r="R32" s="3">
        <v>1</v>
      </c>
      <c r="S32" s="3">
        <v>1</v>
      </c>
      <c r="T32" s="3" t="s">
        <v>27</v>
      </c>
      <c r="U32" s="3">
        <v>1</v>
      </c>
      <c r="V32" s="3">
        <v>1</v>
      </c>
      <c r="W32" s="3" t="s">
        <v>27</v>
      </c>
      <c r="X32" s="3">
        <v>1</v>
      </c>
      <c r="Y32" s="3" t="s">
        <v>27</v>
      </c>
    </row>
    <row r="33" spans="1:25" x14ac:dyDescent="0.2">
      <c r="A33" s="2">
        <v>45914.792395833334</v>
      </c>
      <c r="B33" t="s">
        <v>79</v>
      </c>
      <c r="C33" t="s">
        <v>29</v>
      </c>
      <c r="D33" t="str">
        <f>"0527697368"</f>
        <v>0527697368</v>
      </c>
      <c r="E33" t="str">
        <f>"0587697367"</f>
        <v>0587697367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>
        <v>2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  <c r="Y33" s="3">
        <v>1</v>
      </c>
    </row>
    <row r="34" spans="1:25" x14ac:dyDescent="0.2">
      <c r="A34" s="2">
        <v>45916.046226851853</v>
      </c>
      <c r="B34" t="s">
        <v>80</v>
      </c>
      <c r="C34" t="s">
        <v>60</v>
      </c>
      <c r="D34" t="str">
        <f>"0527189583"</f>
        <v>0527189583</v>
      </c>
      <c r="H34" s="3">
        <v>3</v>
      </c>
      <c r="I34" s="3" t="s">
        <v>27</v>
      </c>
      <c r="J34" s="3" t="s">
        <v>27</v>
      </c>
      <c r="K34" s="3">
        <v>1</v>
      </c>
      <c r="L34" s="3" t="s">
        <v>27</v>
      </c>
      <c r="M34" s="3" t="s">
        <v>27</v>
      </c>
      <c r="N34" s="3">
        <v>3</v>
      </c>
      <c r="O34" s="3" t="s">
        <v>27</v>
      </c>
      <c r="P34" s="3" t="s">
        <v>27</v>
      </c>
      <c r="Q34" s="3" t="s">
        <v>27</v>
      </c>
      <c r="R34" s="3">
        <v>1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  <c r="Y34" s="3" t="s">
        <v>27</v>
      </c>
    </row>
    <row r="35" spans="1:25" x14ac:dyDescent="0.2">
      <c r="A35" s="2">
        <v>45911.991261574076</v>
      </c>
      <c r="B35" t="s">
        <v>81</v>
      </c>
      <c r="C35" t="s">
        <v>82</v>
      </c>
      <c r="D35" t="str">
        <f>"0504117950"</f>
        <v>0504117950</v>
      </c>
      <c r="F35" t="s">
        <v>83</v>
      </c>
      <c r="H35" s="3">
        <v>1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>
        <v>1</v>
      </c>
      <c r="O35" s="3" t="s">
        <v>27</v>
      </c>
      <c r="P35" s="3" t="s">
        <v>27</v>
      </c>
      <c r="Q35" s="3" t="s">
        <v>27</v>
      </c>
      <c r="R35" s="3" t="s">
        <v>27</v>
      </c>
      <c r="S35" s="3">
        <v>1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27</v>
      </c>
    </row>
    <row r="36" spans="1:25" x14ac:dyDescent="0.2">
      <c r="A36" s="2">
        <v>45915.910358796296</v>
      </c>
      <c r="B36" t="s">
        <v>84</v>
      </c>
      <c r="C36" t="s">
        <v>54</v>
      </c>
      <c r="D36" t="str">
        <f>"0527699368"</f>
        <v>0527699368</v>
      </c>
      <c r="H36" s="3">
        <v>1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>
        <v>1</v>
      </c>
      <c r="O36" s="3" t="s">
        <v>27</v>
      </c>
      <c r="P36" s="3" t="s">
        <v>27</v>
      </c>
      <c r="Q36" s="3" t="s">
        <v>27</v>
      </c>
      <c r="R36" s="3" t="s">
        <v>27</v>
      </c>
      <c r="S36" s="3">
        <v>1</v>
      </c>
      <c r="T36" s="3" t="s">
        <v>27</v>
      </c>
      <c r="U36" s="3" t="s">
        <v>27</v>
      </c>
      <c r="V36" s="3" t="s">
        <v>27</v>
      </c>
      <c r="W36" s="3" t="s">
        <v>27</v>
      </c>
      <c r="X36" s="3">
        <v>1</v>
      </c>
      <c r="Y36" s="3" t="s">
        <v>27</v>
      </c>
    </row>
    <row r="37" spans="1:25" x14ac:dyDescent="0.2">
      <c r="A37" s="2">
        <v>45914.957395833335</v>
      </c>
      <c r="B37" t="s">
        <v>85</v>
      </c>
      <c r="C37" t="s">
        <v>86</v>
      </c>
      <c r="D37" t="str">
        <f>"0556781639"</f>
        <v>0556781639</v>
      </c>
      <c r="E37" t="str">
        <f>"0534186124"</f>
        <v>0534186124</v>
      </c>
      <c r="H37" s="3">
        <v>1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>
        <v>1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27</v>
      </c>
    </row>
    <row r="38" spans="1:25" x14ac:dyDescent="0.2">
      <c r="A38" s="2">
        <v>45915.958958333336</v>
      </c>
      <c r="B38" t="s">
        <v>87</v>
      </c>
      <c r="C38" t="s">
        <v>88</v>
      </c>
      <c r="D38" t="str">
        <f>"0504172827"</f>
        <v>0504172827</v>
      </c>
      <c r="E38" t="str">
        <f>"0583202665"</f>
        <v>0583202665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>
        <v>1</v>
      </c>
      <c r="O38" s="3" t="s">
        <v>27</v>
      </c>
      <c r="P38" s="3" t="s">
        <v>27</v>
      </c>
      <c r="Q38" s="3" t="s">
        <v>27</v>
      </c>
      <c r="R38" s="3" t="s">
        <v>27</v>
      </c>
      <c r="S38" s="3">
        <v>1</v>
      </c>
      <c r="T38" s="3" t="s">
        <v>27</v>
      </c>
      <c r="U38" s="3" t="s">
        <v>27</v>
      </c>
      <c r="V38" s="3" t="s">
        <v>27</v>
      </c>
      <c r="W38" s="3">
        <v>1</v>
      </c>
      <c r="X38" s="3" t="s">
        <v>27</v>
      </c>
      <c r="Y38" s="3" t="s">
        <v>27</v>
      </c>
    </row>
    <row r="39" spans="1:25" x14ac:dyDescent="0.2">
      <c r="A39" s="2">
        <v>45916.011354166665</v>
      </c>
      <c r="B39" t="s">
        <v>87</v>
      </c>
      <c r="C39" t="s">
        <v>89</v>
      </c>
      <c r="D39" t="str">
        <f>"0504167896"</f>
        <v>0504167896</v>
      </c>
      <c r="H39" s="3" t="s">
        <v>27</v>
      </c>
      <c r="I39" s="3" t="s">
        <v>27</v>
      </c>
      <c r="J39" s="3" t="s">
        <v>27</v>
      </c>
      <c r="K39" s="3" t="s">
        <v>27</v>
      </c>
      <c r="L39" s="3">
        <v>1</v>
      </c>
      <c r="M39" s="3" t="s">
        <v>27</v>
      </c>
      <c r="N39" s="3">
        <v>6</v>
      </c>
      <c r="O39" s="3" t="s">
        <v>27</v>
      </c>
      <c r="P39" s="3" t="s">
        <v>27</v>
      </c>
      <c r="Q39" s="3" t="s">
        <v>27</v>
      </c>
      <c r="R39" s="3" t="s">
        <v>27</v>
      </c>
      <c r="S39" s="3">
        <v>1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27</v>
      </c>
    </row>
    <row r="40" spans="1:25" x14ac:dyDescent="0.2">
      <c r="A40" s="2">
        <v>45916.933171296296</v>
      </c>
      <c r="B40" t="s">
        <v>90</v>
      </c>
      <c r="C40" t="s">
        <v>40</v>
      </c>
      <c r="D40" t="str">
        <f>"0548536825"</f>
        <v>0548536825</v>
      </c>
      <c r="F40" t="s">
        <v>91</v>
      </c>
      <c r="H40" s="3">
        <v>1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>
        <v>1</v>
      </c>
      <c r="O40" s="3" t="s">
        <v>27</v>
      </c>
      <c r="P40" s="3" t="s">
        <v>27</v>
      </c>
      <c r="Q40" s="3" t="s">
        <v>27</v>
      </c>
      <c r="R40" s="3" t="s">
        <v>27</v>
      </c>
      <c r="S40" s="3">
        <v>1</v>
      </c>
      <c r="T40" s="3" t="s">
        <v>27</v>
      </c>
      <c r="U40" s="3" t="s">
        <v>27</v>
      </c>
      <c r="V40" s="3" t="s">
        <v>27</v>
      </c>
      <c r="W40" s="3" t="s">
        <v>27</v>
      </c>
      <c r="X40" s="3">
        <v>1</v>
      </c>
      <c r="Y40" s="3" t="s">
        <v>27</v>
      </c>
    </row>
    <row r="41" spans="1:25" x14ac:dyDescent="0.2">
      <c r="A41" s="2">
        <v>45908.814502314817</v>
      </c>
      <c r="B41" t="s">
        <v>92</v>
      </c>
      <c r="C41" t="s">
        <v>93</v>
      </c>
      <c r="D41" t="str">
        <f>"0556721826"</f>
        <v>0556721826</v>
      </c>
      <c r="E41" t="str">
        <f>"0548403809"</f>
        <v>0548403809</v>
      </c>
      <c r="H41" s="3" t="s">
        <v>27</v>
      </c>
      <c r="I41" s="3">
        <v>1</v>
      </c>
      <c r="J41" s="3" t="s">
        <v>27</v>
      </c>
      <c r="K41" s="3" t="s">
        <v>27</v>
      </c>
      <c r="L41" s="3" t="s">
        <v>27</v>
      </c>
      <c r="M41" s="3" t="s">
        <v>27</v>
      </c>
      <c r="N41" s="3">
        <v>1</v>
      </c>
      <c r="O41" s="3" t="s">
        <v>27</v>
      </c>
      <c r="P41" s="3" t="s">
        <v>27</v>
      </c>
      <c r="Q41" s="3" t="s">
        <v>27</v>
      </c>
      <c r="R41" s="3" t="s">
        <v>27</v>
      </c>
      <c r="S41" s="3">
        <v>1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>
        <v>1</v>
      </c>
    </row>
    <row r="42" spans="1:25" x14ac:dyDescent="0.2">
      <c r="A42" s="2">
        <v>45916.66510416667</v>
      </c>
      <c r="B42" t="s">
        <v>94</v>
      </c>
      <c r="C42" t="s">
        <v>45</v>
      </c>
      <c r="D42" t="str">
        <f>"0504130685"</f>
        <v>0504130685</v>
      </c>
      <c r="H42" s="3">
        <v>1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>
        <v>1</v>
      </c>
      <c r="O42" s="3" t="s">
        <v>27</v>
      </c>
      <c r="P42" s="3" t="s">
        <v>27</v>
      </c>
      <c r="Q42" s="3" t="s">
        <v>27</v>
      </c>
      <c r="R42" s="3" t="s">
        <v>27</v>
      </c>
      <c r="S42" s="3">
        <v>1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27</v>
      </c>
    </row>
    <row r="43" spans="1:25" x14ac:dyDescent="0.2">
      <c r="A43" s="2">
        <v>45917.411423611113</v>
      </c>
      <c r="B43" t="s">
        <v>95</v>
      </c>
      <c r="C43" t="s">
        <v>96</v>
      </c>
      <c r="D43" t="str">
        <f>"0504166993"</f>
        <v>0504166993</v>
      </c>
      <c r="E43" t="str">
        <f>"0527605639"</f>
        <v>0527605639</v>
      </c>
      <c r="F43" t="s">
        <v>97</v>
      </c>
      <c r="H43" s="3">
        <v>1</v>
      </c>
      <c r="I43" s="3">
        <v>1</v>
      </c>
      <c r="J43" s="3">
        <v>1</v>
      </c>
      <c r="K43" s="3" t="s">
        <v>27</v>
      </c>
      <c r="L43" s="3" t="s">
        <v>27</v>
      </c>
      <c r="M43" s="3" t="s">
        <v>27</v>
      </c>
      <c r="N43" s="3">
        <v>1</v>
      </c>
      <c r="O43" s="3" t="s">
        <v>27</v>
      </c>
      <c r="P43" s="3">
        <v>2</v>
      </c>
      <c r="Q43" s="3" t="s">
        <v>27</v>
      </c>
      <c r="R43" s="3" t="s">
        <v>27</v>
      </c>
      <c r="S43" s="3">
        <v>2</v>
      </c>
      <c r="T43" s="3">
        <v>1</v>
      </c>
      <c r="U43" s="3" t="s">
        <v>27</v>
      </c>
      <c r="V43" s="3">
        <v>3</v>
      </c>
      <c r="W43" s="3">
        <v>2</v>
      </c>
      <c r="X43" s="3" t="s">
        <v>27</v>
      </c>
      <c r="Y43" s="3" t="s">
        <v>27</v>
      </c>
    </row>
    <row r="44" spans="1:25" x14ac:dyDescent="0.2">
      <c r="A44" s="2">
        <v>45909.469942129632</v>
      </c>
      <c r="B44" t="s">
        <v>98</v>
      </c>
      <c r="C44" t="s">
        <v>99</v>
      </c>
      <c r="D44" t="str">
        <f>"0548540727"</f>
        <v>0548540727</v>
      </c>
      <c r="H44" s="3">
        <v>2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>
        <v>3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3</v>
      </c>
      <c r="T44" s="3" t="s">
        <v>27</v>
      </c>
      <c r="U44" s="3" t="s">
        <v>27</v>
      </c>
      <c r="V44" s="3" t="s">
        <v>27</v>
      </c>
      <c r="W44" s="3">
        <v>2</v>
      </c>
      <c r="X44" s="3" t="s">
        <v>27</v>
      </c>
      <c r="Y44" s="3" t="s">
        <v>27</v>
      </c>
    </row>
    <row r="45" spans="1:25" x14ac:dyDescent="0.2">
      <c r="A45" s="2">
        <v>45915.953541666669</v>
      </c>
      <c r="B45" t="s">
        <v>100</v>
      </c>
      <c r="C45" t="s">
        <v>101</v>
      </c>
      <c r="D45" t="str">
        <f>"0583280844"</f>
        <v>0583280844</v>
      </c>
      <c r="E45" t="str">
        <f>"089285536"</f>
        <v>089285536</v>
      </c>
      <c r="H45" s="3">
        <v>2</v>
      </c>
      <c r="I45" s="3" t="s">
        <v>27</v>
      </c>
      <c r="J45" s="3">
        <v>1</v>
      </c>
      <c r="K45" s="3">
        <v>2</v>
      </c>
      <c r="L45" s="3" t="s">
        <v>27</v>
      </c>
      <c r="M45" s="3" t="s">
        <v>27</v>
      </c>
      <c r="N45" s="3">
        <v>2</v>
      </c>
      <c r="O45" s="3" t="s">
        <v>27</v>
      </c>
      <c r="P45" s="3" t="s">
        <v>27</v>
      </c>
      <c r="Q45" s="3" t="s">
        <v>27</v>
      </c>
      <c r="R45" s="3">
        <v>3</v>
      </c>
      <c r="S45" s="3">
        <v>1</v>
      </c>
      <c r="T45" s="3">
        <v>1</v>
      </c>
      <c r="U45" s="3">
        <v>2</v>
      </c>
      <c r="V45" s="3">
        <v>4</v>
      </c>
      <c r="W45" s="3" t="s">
        <v>27</v>
      </c>
      <c r="X45" s="3" t="s">
        <v>27</v>
      </c>
      <c r="Y45" s="3" t="s">
        <v>27</v>
      </c>
    </row>
    <row r="46" spans="1:25" x14ac:dyDescent="0.2">
      <c r="A46" s="2">
        <v>45916.976979166669</v>
      </c>
      <c r="B46" t="s">
        <v>102</v>
      </c>
      <c r="C46" t="s">
        <v>31</v>
      </c>
      <c r="D46" t="str">
        <f>"0583247040"</f>
        <v>0583247040</v>
      </c>
      <c r="H46" s="3">
        <v>1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>
        <v>1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1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  <c r="Y46" s="3" t="s">
        <v>27</v>
      </c>
    </row>
    <row r="47" spans="1:25" x14ac:dyDescent="0.2">
      <c r="A47" s="2">
        <v>45917.053310185183</v>
      </c>
      <c r="B47" t="s">
        <v>103</v>
      </c>
      <c r="C47" t="s">
        <v>104</v>
      </c>
      <c r="D47" t="str">
        <f>"0504102078"</f>
        <v>0504102078</v>
      </c>
      <c r="F47" t="s">
        <v>105</v>
      </c>
      <c r="H47" s="3">
        <v>1</v>
      </c>
      <c r="I47" s="3" t="s">
        <v>27</v>
      </c>
      <c r="J47" s="3">
        <v>2</v>
      </c>
      <c r="K47" s="3" t="s">
        <v>27</v>
      </c>
      <c r="L47" s="3" t="s">
        <v>27</v>
      </c>
      <c r="M47" s="3" t="s">
        <v>27</v>
      </c>
      <c r="N47" s="3">
        <v>1</v>
      </c>
      <c r="O47" s="3" t="s">
        <v>27</v>
      </c>
      <c r="P47" s="3">
        <v>2</v>
      </c>
      <c r="Q47" s="3" t="s">
        <v>27</v>
      </c>
      <c r="R47" s="3" t="s">
        <v>27</v>
      </c>
      <c r="S47" s="3">
        <v>1</v>
      </c>
      <c r="T47" s="3">
        <v>2</v>
      </c>
      <c r="U47" s="3" t="s">
        <v>27</v>
      </c>
      <c r="V47" s="3" t="s">
        <v>27</v>
      </c>
      <c r="W47" s="3">
        <v>1</v>
      </c>
      <c r="X47" s="3">
        <v>2</v>
      </c>
      <c r="Y47" s="3" t="s">
        <v>27</v>
      </c>
    </row>
    <row r="48" spans="1:25" x14ac:dyDescent="0.2">
      <c r="A48" s="2">
        <v>45916.707337962966</v>
      </c>
      <c r="B48" t="s">
        <v>106</v>
      </c>
      <c r="C48" t="s">
        <v>96</v>
      </c>
      <c r="D48" t="str">
        <f>"086220133"</f>
        <v>086220133</v>
      </c>
      <c r="H48" s="3">
        <v>1</v>
      </c>
      <c r="I48" s="3" t="s">
        <v>27</v>
      </c>
      <c r="J48" s="3" t="s">
        <v>27</v>
      </c>
      <c r="K48" s="3">
        <v>1</v>
      </c>
      <c r="L48" s="3" t="s">
        <v>27</v>
      </c>
      <c r="M48" s="3" t="s">
        <v>27</v>
      </c>
      <c r="N48" s="3">
        <v>1</v>
      </c>
      <c r="O48" s="3" t="s">
        <v>27</v>
      </c>
      <c r="P48" s="3" t="s">
        <v>27</v>
      </c>
      <c r="Q48" s="3" t="s">
        <v>27</v>
      </c>
      <c r="R48" s="3">
        <v>1</v>
      </c>
      <c r="S48" s="3">
        <v>2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27</v>
      </c>
    </row>
    <row r="49" spans="1:25" x14ac:dyDescent="0.2">
      <c r="A49" s="2">
        <v>45910.458703703705</v>
      </c>
      <c r="B49" t="s">
        <v>107</v>
      </c>
      <c r="C49" t="s">
        <v>31</v>
      </c>
      <c r="D49" t="str">
        <f>"0527614262"</f>
        <v>0527614262</v>
      </c>
      <c r="H49" s="3" t="s">
        <v>27</v>
      </c>
      <c r="I49" s="3">
        <v>1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>
        <v>1</v>
      </c>
      <c r="Q49" s="3" t="s">
        <v>27</v>
      </c>
      <c r="R49" s="3" t="s">
        <v>27</v>
      </c>
      <c r="S49" s="3" t="s">
        <v>27</v>
      </c>
      <c r="T49" s="3">
        <v>1</v>
      </c>
      <c r="U49" s="3" t="s">
        <v>27</v>
      </c>
      <c r="V49" s="3" t="s">
        <v>27</v>
      </c>
      <c r="W49" s="3" t="s">
        <v>27</v>
      </c>
      <c r="X49" s="3">
        <v>1</v>
      </c>
      <c r="Y49" s="3" t="s">
        <v>27</v>
      </c>
    </row>
    <row r="50" spans="1:25" x14ac:dyDescent="0.2">
      <c r="A50" s="2">
        <v>45916.899062500001</v>
      </c>
      <c r="B50" t="s">
        <v>108</v>
      </c>
      <c r="C50" t="s">
        <v>109</v>
      </c>
      <c r="D50" t="str">
        <f>"0775449230"</f>
        <v>0775449230</v>
      </c>
      <c r="E50" t="str">
        <f>"0527691572"</f>
        <v>0527691572</v>
      </c>
      <c r="H50" s="3" t="s">
        <v>27</v>
      </c>
      <c r="I50" s="3">
        <v>2</v>
      </c>
      <c r="J50" s="3">
        <v>1</v>
      </c>
      <c r="K50" s="3">
        <v>1</v>
      </c>
      <c r="L50" s="3" t="s">
        <v>27</v>
      </c>
      <c r="M50" s="3" t="s">
        <v>27</v>
      </c>
      <c r="N50" s="3">
        <v>2</v>
      </c>
      <c r="O50" s="3">
        <v>1</v>
      </c>
      <c r="P50" s="3" t="s">
        <v>27</v>
      </c>
      <c r="Q50" s="3" t="s">
        <v>27</v>
      </c>
      <c r="R50" s="3">
        <v>1</v>
      </c>
      <c r="S50" s="3">
        <v>2</v>
      </c>
      <c r="T50" s="3">
        <v>1</v>
      </c>
      <c r="U50" s="3">
        <v>1</v>
      </c>
      <c r="V50" s="3" t="s">
        <v>27</v>
      </c>
      <c r="W50" s="3" t="s">
        <v>27</v>
      </c>
      <c r="X50" s="3" t="s">
        <v>27</v>
      </c>
      <c r="Y50" s="3" t="s">
        <v>27</v>
      </c>
    </row>
    <row r="51" spans="1:25" x14ac:dyDescent="0.2">
      <c r="A51" s="2">
        <v>45917.067881944444</v>
      </c>
      <c r="B51" t="s">
        <v>110</v>
      </c>
      <c r="C51" t="s">
        <v>45</v>
      </c>
      <c r="D51" t="str">
        <f>"0556775322"</f>
        <v>0556775322</v>
      </c>
      <c r="H51" s="3">
        <v>1</v>
      </c>
      <c r="I51" s="3" t="s">
        <v>27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>
        <v>1</v>
      </c>
      <c r="P51" s="3" t="s">
        <v>27</v>
      </c>
      <c r="Q51" s="3" t="s">
        <v>27</v>
      </c>
      <c r="R51" s="3" t="s">
        <v>27</v>
      </c>
      <c r="S51" s="3" t="s">
        <v>27</v>
      </c>
      <c r="T51" s="3">
        <v>1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27</v>
      </c>
    </row>
    <row r="52" spans="1:25" x14ac:dyDescent="0.2">
      <c r="A52" s="2">
        <v>45915.41474537037</v>
      </c>
      <c r="B52" t="s">
        <v>111</v>
      </c>
      <c r="C52" t="s">
        <v>112</v>
      </c>
      <c r="D52" t="str">
        <f>"0527141489"</f>
        <v>0527141489</v>
      </c>
      <c r="E52" t="str">
        <f>"0527601189"</f>
        <v>0527601189</v>
      </c>
      <c r="F52" t="s">
        <v>113</v>
      </c>
      <c r="H52" s="3">
        <v>2</v>
      </c>
      <c r="I52" s="3" t="s">
        <v>27</v>
      </c>
      <c r="J52" s="3" t="s">
        <v>27</v>
      </c>
      <c r="K52" s="3">
        <v>1</v>
      </c>
      <c r="L52" s="3">
        <v>2</v>
      </c>
      <c r="M52" s="3" t="s">
        <v>27</v>
      </c>
      <c r="N52" s="3">
        <v>4</v>
      </c>
      <c r="O52" s="3" t="s">
        <v>27</v>
      </c>
      <c r="P52" s="3" t="s">
        <v>27</v>
      </c>
      <c r="Q52" s="3" t="s">
        <v>27</v>
      </c>
      <c r="R52" s="3">
        <v>1</v>
      </c>
      <c r="S52" s="3">
        <v>4</v>
      </c>
      <c r="T52" s="3" t="s">
        <v>27</v>
      </c>
      <c r="U52" s="3">
        <v>1</v>
      </c>
      <c r="V52" s="3">
        <v>5</v>
      </c>
      <c r="W52" s="3">
        <v>4</v>
      </c>
      <c r="X52" s="3">
        <v>1</v>
      </c>
      <c r="Y52" s="3" t="s">
        <v>27</v>
      </c>
    </row>
    <row r="53" spans="1:25" x14ac:dyDescent="0.2">
      <c r="A53" s="2">
        <v>45916.879699074074</v>
      </c>
      <c r="B53" t="s">
        <v>114</v>
      </c>
      <c r="C53" t="s">
        <v>109</v>
      </c>
      <c r="D53" t="str">
        <f>"0583231202"</f>
        <v>0583231202</v>
      </c>
      <c r="H53" s="3">
        <v>1</v>
      </c>
      <c r="I53" s="3" t="s">
        <v>27</v>
      </c>
      <c r="J53" s="3" t="s">
        <v>27</v>
      </c>
      <c r="K53" s="3" t="s">
        <v>27</v>
      </c>
      <c r="L53" s="3" t="s">
        <v>27</v>
      </c>
      <c r="M53" s="3" t="s">
        <v>27</v>
      </c>
      <c r="N53" s="3">
        <v>1</v>
      </c>
      <c r="O53" s="3" t="s">
        <v>27</v>
      </c>
      <c r="P53" s="3" t="s">
        <v>27</v>
      </c>
      <c r="Q53" s="3" t="s">
        <v>27</v>
      </c>
      <c r="R53" s="3" t="s">
        <v>27</v>
      </c>
      <c r="S53" s="3">
        <v>1</v>
      </c>
      <c r="T53" s="3" t="s">
        <v>27</v>
      </c>
      <c r="U53" s="3" t="s">
        <v>27</v>
      </c>
      <c r="V53" s="3" t="s">
        <v>27</v>
      </c>
      <c r="W53" s="3" t="s">
        <v>27</v>
      </c>
      <c r="X53" s="3">
        <v>1</v>
      </c>
      <c r="Y53" s="3" t="s">
        <v>27</v>
      </c>
    </row>
    <row r="54" spans="1:25" x14ac:dyDescent="0.2">
      <c r="A54" s="2">
        <v>45917.003055555557</v>
      </c>
      <c r="B54" t="s">
        <v>115</v>
      </c>
      <c r="C54" t="s">
        <v>116</v>
      </c>
      <c r="D54" t="str">
        <f>"086171213"</f>
        <v>086171213</v>
      </c>
      <c r="E54" t="str">
        <f>"0527189026"</f>
        <v>0527189026</v>
      </c>
      <c r="H54" s="3">
        <v>1</v>
      </c>
      <c r="I54" s="3" t="s">
        <v>27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27</v>
      </c>
    </row>
    <row r="55" spans="1:25" x14ac:dyDescent="0.2">
      <c r="A55" s="2">
        <v>45916.966261574074</v>
      </c>
      <c r="B55" t="s">
        <v>115</v>
      </c>
      <c r="C55" t="s">
        <v>112</v>
      </c>
      <c r="D55" t="str">
        <f>"0504178775"</f>
        <v>0504178775</v>
      </c>
      <c r="H55" s="3" t="s">
        <v>27</v>
      </c>
      <c r="I55" s="3">
        <v>1</v>
      </c>
      <c r="J55" s="3" t="s">
        <v>27</v>
      </c>
      <c r="K55" s="3">
        <v>1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>
        <v>1</v>
      </c>
      <c r="S55" s="3" t="s">
        <v>27</v>
      </c>
      <c r="T55" s="3" t="s">
        <v>27</v>
      </c>
      <c r="U55" s="3">
        <v>1</v>
      </c>
      <c r="V55" s="3" t="s">
        <v>27</v>
      </c>
      <c r="W55" s="3" t="s">
        <v>27</v>
      </c>
      <c r="X55" s="3">
        <v>1</v>
      </c>
      <c r="Y55" s="3" t="s">
        <v>27</v>
      </c>
    </row>
    <row r="56" spans="1:25" x14ac:dyDescent="0.2">
      <c r="A56" s="2">
        <v>45911.946435185186</v>
      </c>
      <c r="B56" t="s">
        <v>117</v>
      </c>
      <c r="C56" t="s">
        <v>53</v>
      </c>
      <c r="D56" t="str">
        <f>"0504124953"</f>
        <v>0504124953</v>
      </c>
      <c r="H56" s="3" t="s">
        <v>27</v>
      </c>
      <c r="I56" s="3" t="s">
        <v>27</v>
      </c>
      <c r="J56" s="3" t="s">
        <v>27</v>
      </c>
      <c r="K56" s="3" t="s">
        <v>27</v>
      </c>
      <c r="L56" s="3">
        <v>1</v>
      </c>
      <c r="M56" s="3" t="s">
        <v>27</v>
      </c>
      <c r="N56" s="3">
        <v>1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27</v>
      </c>
    </row>
    <row r="57" spans="1:25" x14ac:dyDescent="0.2">
      <c r="A57" s="2">
        <v>45915.694108796299</v>
      </c>
      <c r="B57" t="s">
        <v>118</v>
      </c>
      <c r="C57" t="s">
        <v>119</v>
      </c>
      <c r="D57" t="str">
        <f>"0548422519"</f>
        <v>0548422519</v>
      </c>
      <c r="H57" s="3" t="s">
        <v>27</v>
      </c>
      <c r="I57" s="3">
        <v>1</v>
      </c>
      <c r="J57" s="3" t="s">
        <v>27</v>
      </c>
      <c r="K57" s="3" t="s">
        <v>27</v>
      </c>
      <c r="L57" s="3" t="s">
        <v>27</v>
      </c>
      <c r="M57" s="3" t="s">
        <v>27</v>
      </c>
      <c r="N57" s="3">
        <v>1</v>
      </c>
      <c r="O57" s="3" t="s">
        <v>27</v>
      </c>
      <c r="P57" s="3" t="s">
        <v>27</v>
      </c>
      <c r="Q57" s="3" t="s">
        <v>27</v>
      </c>
      <c r="R57" s="3" t="s">
        <v>27</v>
      </c>
      <c r="S57" s="3">
        <v>1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27</v>
      </c>
    </row>
    <row r="58" spans="1:25" x14ac:dyDescent="0.2">
      <c r="A58" s="2">
        <v>45917.855162037034</v>
      </c>
      <c r="B58" t="s">
        <v>120</v>
      </c>
      <c r="C58" t="s">
        <v>121</v>
      </c>
      <c r="D58" t="str">
        <f>"0533156943"</f>
        <v>0533156943</v>
      </c>
      <c r="H58" s="3" t="s">
        <v>27</v>
      </c>
      <c r="I58" s="3">
        <v>1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>
        <v>1</v>
      </c>
      <c r="P58" s="3" t="s">
        <v>27</v>
      </c>
      <c r="Q58" s="3" t="s">
        <v>27</v>
      </c>
      <c r="R58" s="3" t="s">
        <v>27</v>
      </c>
      <c r="S58" s="3" t="s">
        <v>27</v>
      </c>
      <c r="T58" s="3">
        <v>1</v>
      </c>
      <c r="U58" s="3" t="s">
        <v>27</v>
      </c>
      <c r="V58" s="3" t="s">
        <v>27</v>
      </c>
      <c r="W58" s="3" t="s">
        <v>27</v>
      </c>
      <c r="X58" s="3" t="s">
        <v>27</v>
      </c>
      <c r="Y58" s="3" t="s">
        <v>27</v>
      </c>
    </row>
    <row r="59" spans="1:25" x14ac:dyDescent="0.2">
      <c r="A59" s="2">
        <v>45914.958113425928</v>
      </c>
      <c r="B59" t="s">
        <v>122</v>
      </c>
      <c r="C59" t="s">
        <v>45</v>
      </c>
      <c r="D59" t="str">
        <f>"0583214821"</f>
        <v>0583214821</v>
      </c>
      <c r="E59" t="str">
        <f>"086420863"</f>
        <v>086420863</v>
      </c>
      <c r="H59" s="3" t="s">
        <v>27</v>
      </c>
      <c r="I59" s="3" t="s">
        <v>27</v>
      </c>
      <c r="J59" s="3" t="s">
        <v>27</v>
      </c>
      <c r="K59" s="3" t="s">
        <v>27</v>
      </c>
      <c r="L59" s="3" t="s">
        <v>27</v>
      </c>
      <c r="M59" s="3" t="s">
        <v>27</v>
      </c>
      <c r="N59" s="3">
        <v>1</v>
      </c>
      <c r="O59" s="3" t="s">
        <v>27</v>
      </c>
      <c r="P59" s="3" t="s">
        <v>27</v>
      </c>
      <c r="Q59" s="3" t="s">
        <v>27</v>
      </c>
      <c r="R59" s="3" t="s">
        <v>27</v>
      </c>
      <c r="S59" s="3">
        <v>1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3" t="s">
        <v>27</v>
      </c>
    </row>
    <row r="60" spans="1:25" x14ac:dyDescent="0.2">
      <c r="A60" s="2">
        <v>45914.952847222223</v>
      </c>
      <c r="B60" t="s">
        <v>123</v>
      </c>
      <c r="C60" t="s">
        <v>121</v>
      </c>
      <c r="D60" t="str">
        <f>"0583277495"</f>
        <v>0583277495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  <c r="N60" s="3">
        <v>1</v>
      </c>
      <c r="O60" s="3" t="s">
        <v>27</v>
      </c>
      <c r="P60" s="3" t="s">
        <v>27</v>
      </c>
      <c r="Q60" s="3" t="s">
        <v>27</v>
      </c>
      <c r="R60" s="3" t="s">
        <v>27</v>
      </c>
      <c r="S60" s="3">
        <v>1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27</v>
      </c>
    </row>
    <row r="61" spans="1:25" x14ac:dyDescent="0.2">
      <c r="A61" s="2">
        <v>45916.878842592596</v>
      </c>
      <c r="B61" t="s">
        <v>124</v>
      </c>
      <c r="C61" t="s">
        <v>125</v>
      </c>
      <c r="D61">
        <v>5271088160</v>
      </c>
      <c r="H61" s="3" t="s">
        <v>27</v>
      </c>
      <c r="I61" s="3" t="s">
        <v>27</v>
      </c>
      <c r="J61" s="3" t="s">
        <v>27</v>
      </c>
      <c r="K61" s="3" t="s">
        <v>27</v>
      </c>
      <c r="L61" s="3" t="s">
        <v>27</v>
      </c>
      <c r="M61" s="3" t="s">
        <v>27</v>
      </c>
      <c r="N61" s="3">
        <v>1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27</v>
      </c>
    </row>
    <row r="62" spans="1:25" x14ac:dyDescent="0.2">
      <c r="A62" s="2">
        <v>45910.307268518518</v>
      </c>
      <c r="B62" t="s">
        <v>126</v>
      </c>
      <c r="C62" t="s">
        <v>99</v>
      </c>
      <c r="D62" t="str">
        <f>"0533177447"</f>
        <v>0533177447</v>
      </c>
      <c r="F62" t="s">
        <v>127</v>
      </c>
      <c r="H62" s="3" t="s">
        <v>27</v>
      </c>
      <c r="I62" s="3" t="s">
        <v>27</v>
      </c>
      <c r="J62" s="3">
        <v>1</v>
      </c>
      <c r="K62" s="3">
        <v>1</v>
      </c>
      <c r="L62" s="3">
        <v>2</v>
      </c>
      <c r="M62" s="3" t="s">
        <v>27</v>
      </c>
      <c r="N62" s="3">
        <v>2</v>
      </c>
      <c r="O62" s="3" t="s">
        <v>27</v>
      </c>
      <c r="P62" s="3" t="s">
        <v>27</v>
      </c>
      <c r="Q62" s="3" t="s">
        <v>27</v>
      </c>
      <c r="R62" s="3">
        <v>2</v>
      </c>
      <c r="S62" s="3">
        <v>2</v>
      </c>
      <c r="T62" s="3" t="s">
        <v>27</v>
      </c>
      <c r="U62" s="3">
        <v>2</v>
      </c>
      <c r="V62" s="3">
        <v>4</v>
      </c>
      <c r="W62" s="3" t="s">
        <v>27</v>
      </c>
      <c r="X62" s="3">
        <v>4</v>
      </c>
      <c r="Y62" s="3" t="s">
        <v>27</v>
      </c>
    </row>
    <row r="63" spans="1:25" x14ac:dyDescent="0.2">
      <c r="A63" s="2">
        <v>45916.320393518516</v>
      </c>
      <c r="B63" t="s">
        <v>128</v>
      </c>
      <c r="C63" t="s">
        <v>116</v>
      </c>
      <c r="D63" t="str">
        <f>"0527176966"</f>
        <v>0527176966</v>
      </c>
      <c r="E63" t="str">
        <f>"0534101376"</f>
        <v>0534101376</v>
      </c>
      <c r="G63" t="s">
        <v>129</v>
      </c>
      <c r="H63" s="3">
        <v>1</v>
      </c>
      <c r="I63" s="3" t="s">
        <v>27</v>
      </c>
      <c r="J63" s="3" t="s">
        <v>27</v>
      </c>
      <c r="K63" s="3" t="s">
        <v>27</v>
      </c>
      <c r="L63" s="3" t="s">
        <v>27</v>
      </c>
      <c r="M63" s="3" t="s">
        <v>27</v>
      </c>
      <c r="N63" s="3">
        <v>1</v>
      </c>
      <c r="O63" s="3" t="s">
        <v>27</v>
      </c>
      <c r="P63" s="3" t="s">
        <v>27</v>
      </c>
      <c r="Q63" s="3" t="s">
        <v>27</v>
      </c>
      <c r="R63" s="3" t="s">
        <v>27</v>
      </c>
      <c r="S63" s="3">
        <v>1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27</v>
      </c>
    </row>
    <row r="64" spans="1:25" x14ac:dyDescent="0.2">
      <c r="A64" s="2">
        <v>45916.954201388886</v>
      </c>
      <c r="B64" t="s">
        <v>130</v>
      </c>
      <c r="C64" t="s">
        <v>33</v>
      </c>
      <c r="D64" t="str">
        <f>"0548573912"</f>
        <v>0548573912</v>
      </c>
      <c r="H64" s="3">
        <v>1</v>
      </c>
      <c r="I64" s="3" t="s">
        <v>27</v>
      </c>
      <c r="J64" s="3" t="s">
        <v>27</v>
      </c>
      <c r="K64" s="3" t="s">
        <v>27</v>
      </c>
      <c r="L64" s="3" t="s">
        <v>27</v>
      </c>
      <c r="M64" s="3" t="s">
        <v>27</v>
      </c>
      <c r="N64" s="3">
        <v>1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>
        <v>1</v>
      </c>
      <c r="X64" s="3" t="s">
        <v>27</v>
      </c>
      <c r="Y64" s="3" t="s">
        <v>27</v>
      </c>
    </row>
    <row r="65" spans="1:25" x14ac:dyDescent="0.2">
      <c r="A65" s="2">
        <v>45916.490740740737</v>
      </c>
      <c r="B65" t="s">
        <v>131</v>
      </c>
      <c r="C65" t="s">
        <v>132</v>
      </c>
      <c r="D65" t="str">
        <f>"0527671315"</f>
        <v>0527671315</v>
      </c>
      <c r="E65" t="str">
        <f>"0527671316"</f>
        <v>0527671316</v>
      </c>
      <c r="H65" s="3">
        <v>1</v>
      </c>
      <c r="I65" s="3">
        <v>2</v>
      </c>
      <c r="J65" s="3">
        <v>2</v>
      </c>
      <c r="K65" s="3" t="s">
        <v>27</v>
      </c>
      <c r="L65" s="3" t="s">
        <v>27</v>
      </c>
      <c r="M65" s="3" t="s">
        <v>27</v>
      </c>
      <c r="N65" s="3">
        <v>1</v>
      </c>
      <c r="O65" s="3">
        <v>2</v>
      </c>
      <c r="P65" s="3">
        <v>2</v>
      </c>
      <c r="Q65" s="3" t="s">
        <v>27</v>
      </c>
      <c r="R65" s="3" t="s">
        <v>27</v>
      </c>
      <c r="S65" s="3">
        <v>1</v>
      </c>
      <c r="T65" s="3">
        <v>1</v>
      </c>
      <c r="U65" s="3" t="s">
        <v>27</v>
      </c>
      <c r="V65" s="3">
        <v>2</v>
      </c>
      <c r="W65" s="3">
        <v>1</v>
      </c>
      <c r="X65" s="3" t="s">
        <v>27</v>
      </c>
      <c r="Y65" s="3" t="s">
        <v>27</v>
      </c>
    </row>
    <row r="66" spans="1:25" x14ac:dyDescent="0.2">
      <c r="A66" s="2">
        <v>45916.932256944441</v>
      </c>
      <c r="B66" t="s">
        <v>133</v>
      </c>
      <c r="C66" t="s">
        <v>134</v>
      </c>
      <c r="D66" t="str">
        <f>"0527654355"</f>
        <v>0527654355</v>
      </c>
      <c r="H66" s="3">
        <v>1</v>
      </c>
      <c r="I66" s="3" t="s">
        <v>27</v>
      </c>
      <c r="J66" s="3" t="s">
        <v>27</v>
      </c>
      <c r="K66" s="3">
        <v>2</v>
      </c>
      <c r="L66" s="3" t="s">
        <v>27</v>
      </c>
      <c r="M66" s="3" t="s">
        <v>27</v>
      </c>
      <c r="N66" s="3">
        <v>1</v>
      </c>
      <c r="O66" s="3" t="s">
        <v>27</v>
      </c>
      <c r="P66" s="3" t="s">
        <v>27</v>
      </c>
      <c r="Q66" s="3" t="s">
        <v>27</v>
      </c>
      <c r="R66" s="3">
        <v>3</v>
      </c>
      <c r="S66" s="3">
        <v>1</v>
      </c>
      <c r="T66" s="3" t="s">
        <v>27</v>
      </c>
      <c r="U66" s="3">
        <v>3</v>
      </c>
      <c r="V66" s="3">
        <v>3</v>
      </c>
      <c r="W66" s="3" t="s">
        <v>27</v>
      </c>
      <c r="X66" s="3">
        <v>4</v>
      </c>
      <c r="Y66" s="3" t="s">
        <v>27</v>
      </c>
    </row>
    <row r="67" spans="1:25" x14ac:dyDescent="0.2">
      <c r="A67" s="2">
        <v>45914.972627314812</v>
      </c>
      <c r="B67" t="s">
        <v>135</v>
      </c>
      <c r="C67" t="s">
        <v>54</v>
      </c>
      <c r="D67" t="str">
        <f>"0548477960"</f>
        <v>0548477960</v>
      </c>
      <c r="E67" t="str">
        <f>"0548477970"</f>
        <v>0548477970</v>
      </c>
      <c r="H67" s="3" t="s">
        <v>27</v>
      </c>
      <c r="I67" s="3" t="s">
        <v>27</v>
      </c>
      <c r="J67" s="3">
        <v>2</v>
      </c>
      <c r="K67" s="3">
        <v>3</v>
      </c>
      <c r="L67" s="3" t="s">
        <v>27</v>
      </c>
      <c r="M67" s="3" t="s">
        <v>27</v>
      </c>
      <c r="N67" s="3" t="s">
        <v>27</v>
      </c>
      <c r="O67" s="3" t="s">
        <v>27</v>
      </c>
      <c r="P67" s="3">
        <v>1</v>
      </c>
      <c r="Q67" s="3" t="s">
        <v>27</v>
      </c>
      <c r="R67" s="3">
        <v>4</v>
      </c>
      <c r="S67" s="3" t="s">
        <v>27</v>
      </c>
      <c r="T67" s="3">
        <v>1</v>
      </c>
      <c r="U67" s="3">
        <v>4</v>
      </c>
      <c r="V67" s="3">
        <v>6</v>
      </c>
      <c r="W67" s="3">
        <v>1</v>
      </c>
      <c r="X67" s="3" t="s">
        <v>27</v>
      </c>
      <c r="Y67" s="3" t="s">
        <v>27</v>
      </c>
    </row>
    <row r="68" spans="1:25" x14ac:dyDescent="0.2">
      <c r="A68" s="2">
        <v>45917.002118055556</v>
      </c>
      <c r="B68" t="s">
        <v>136</v>
      </c>
      <c r="C68" t="s">
        <v>137</v>
      </c>
      <c r="D68" t="str">
        <f>"089744744"</f>
        <v>089744744</v>
      </c>
      <c r="E68" t="str">
        <f>"0548437438"</f>
        <v>0548437438</v>
      </c>
      <c r="F68" t="s">
        <v>138</v>
      </c>
      <c r="G68" t="s">
        <v>139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27</v>
      </c>
      <c r="M68" s="3" t="s">
        <v>27</v>
      </c>
      <c r="N68" s="3">
        <v>1</v>
      </c>
      <c r="O68" s="3" t="s">
        <v>27</v>
      </c>
      <c r="P68" s="3">
        <v>3</v>
      </c>
      <c r="Q68" s="3" t="s">
        <v>27</v>
      </c>
      <c r="R68" s="3">
        <v>4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27</v>
      </c>
    </row>
    <row r="69" spans="1:25" x14ac:dyDescent="0.2">
      <c r="A69" s="2">
        <v>45914.982627314814</v>
      </c>
      <c r="B69" t="s">
        <v>140</v>
      </c>
      <c r="C69" t="s">
        <v>141</v>
      </c>
      <c r="D69" t="str">
        <f>"0527699198"</f>
        <v>0527699198</v>
      </c>
      <c r="E69" t="str">
        <f>"0548429689"</f>
        <v>0548429689</v>
      </c>
      <c r="H69" s="3" t="s">
        <v>27</v>
      </c>
      <c r="I69" s="3" t="s">
        <v>27</v>
      </c>
      <c r="J69" s="3">
        <v>4</v>
      </c>
      <c r="K69" s="3" t="s">
        <v>27</v>
      </c>
      <c r="L69" s="3" t="s">
        <v>27</v>
      </c>
      <c r="M69" s="3" t="s">
        <v>27</v>
      </c>
      <c r="N69" s="3">
        <v>2</v>
      </c>
      <c r="O69" s="3" t="s">
        <v>27</v>
      </c>
      <c r="P69" s="3">
        <v>4</v>
      </c>
      <c r="Q69" s="3" t="s">
        <v>27</v>
      </c>
      <c r="R69" s="3" t="s">
        <v>27</v>
      </c>
      <c r="S69" s="3">
        <v>3</v>
      </c>
      <c r="T69" s="3">
        <v>4</v>
      </c>
      <c r="U69" s="3" t="s">
        <v>27</v>
      </c>
      <c r="V69" s="3" t="s">
        <v>27</v>
      </c>
      <c r="W69" s="3" t="s">
        <v>27</v>
      </c>
      <c r="X69" s="3">
        <v>3</v>
      </c>
      <c r="Y69" s="3" t="s">
        <v>27</v>
      </c>
    </row>
    <row r="70" spans="1:25" x14ac:dyDescent="0.2">
      <c r="A70" s="2">
        <v>45918.047048611108</v>
      </c>
      <c r="B70" t="s">
        <v>142</v>
      </c>
      <c r="C70" t="s">
        <v>29</v>
      </c>
      <c r="D70" t="str">
        <f>"0501153122"</f>
        <v>0501153122</v>
      </c>
      <c r="H70" s="3">
        <v>1</v>
      </c>
      <c r="I70" s="3" t="s">
        <v>27</v>
      </c>
      <c r="J70" s="3" t="s">
        <v>27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27</v>
      </c>
    </row>
    <row r="71" spans="1:25" x14ac:dyDescent="0.2">
      <c r="A71" s="2">
        <v>45916.99722222222</v>
      </c>
      <c r="B71" t="s">
        <v>142</v>
      </c>
      <c r="C71" t="s">
        <v>143</v>
      </c>
      <c r="D71" t="str">
        <f>"0527189250"</f>
        <v>0527189250</v>
      </c>
      <c r="H71" s="3" t="s">
        <v>27</v>
      </c>
      <c r="I71" s="3" t="s">
        <v>27</v>
      </c>
      <c r="J71" s="3" t="s">
        <v>27</v>
      </c>
      <c r="K71" s="3" t="s">
        <v>27</v>
      </c>
      <c r="L71" s="3" t="s">
        <v>27</v>
      </c>
      <c r="M71" s="3" t="s">
        <v>27</v>
      </c>
      <c r="N71" s="3" t="s">
        <v>27</v>
      </c>
      <c r="O71" s="3">
        <v>1</v>
      </c>
      <c r="P71" s="3" t="s">
        <v>27</v>
      </c>
      <c r="Q71" s="3" t="s">
        <v>27</v>
      </c>
      <c r="R71" s="3" t="s">
        <v>27</v>
      </c>
      <c r="S71" s="3">
        <v>1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27</v>
      </c>
    </row>
    <row r="72" spans="1:25" x14ac:dyDescent="0.2">
      <c r="A72" s="2">
        <v>45911.92597222222</v>
      </c>
      <c r="B72" t="s">
        <v>144</v>
      </c>
      <c r="C72" t="s">
        <v>82</v>
      </c>
      <c r="D72" t="str">
        <f>"0556794372"</f>
        <v>0556794372</v>
      </c>
      <c r="H72" s="3">
        <v>1</v>
      </c>
      <c r="I72" s="3" t="s">
        <v>27</v>
      </c>
      <c r="J72" s="3" t="s">
        <v>27</v>
      </c>
      <c r="K72" s="3" t="s">
        <v>27</v>
      </c>
      <c r="L72" s="3" t="s">
        <v>27</v>
      </c>
      <c r="M72" s="3" t="s">
        <v>27</v>
      </c>
      <c r="N72" s="3">
        <v>1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27</v>
      </c>
    </row>
    <row r="73" spans="1:25" x14ac:dyDescent="0.2">
      <c r="A73" s="2">
        <v>45915.799780092595</v>
      </c>
      <c r="B73" t="s">
        <v>145</v>
      </c>
      <c r="C73" t="s">
        <v>96</v>
      </c>
      <c r="D73" t="str">
        <f>"0584310529"</f>
        <v>0584310529</v>
      </c>
      <c r="F73" t="s">
        <v>146</v>
      </c>
      <c r="H73" s="3" t="s">
        <v>27</v>
      </c>
      <c r="I73" s="3" t="s">
        <v>27</v>
      </c>
      <c r="J73" s="3" t="s">
        <v>27</v>
      </c>
      <c r="K73" s="3" t="s">
        <v>27</v>
      </c>
      <c r="L73" s="3">
        <v>1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27</v>
      </c>
    </row>
    <row r="74" spans="1:25" x14ac:dyDescent="0.2">
      <c r="A74" s="2">
        <v>45908.631574074076</v>
      </c>
      <c r="B74" t="s">
        <v>147</v>
      </c>
      <c r="C74" t="s">
        <v>51</v>
      </c>
      <c r="D74" t="str">
        <f>"0583287641"</f>
        <v>0583287641</v>
      </c>
      <c r="H74" s="3">
        <v>2</v>
      </c>
      <c r="I74" s="3" t="s">
        <v>27</v>
      </c>
      <c r="J74" s="3">
        <v>1</v>
      </c>
      <c r="K74" s="3">
        <v>2</v>
      </c>
      <c r="L74" s="3" t="s">
        <v>27</v>
      </c>
      <c r="M74" s="3" t="s">
        <v>27</v>
      </c>
      <c r="N74" s="3" t="s">
        <v>27</v>
      </c>
      <c r="O74" s="3">
        <v>2</v>
      </c>
      <c r="P74" s="3">
        <v>1</v>
      </c>
      <c r="Q74" s="3" t="s">
        <v>27</v>
      </c>
      <c r="R74" s="3">
        <v>2</v>
      </c>
      <c r="S74" s="3">
        <v>3</v>
      </c>
      <c r="T74" s="3">
        <v>2</v>
      </c>
      <c r="U74" s="3" t="s">
        <v>27</v>
      </c>
      <c r="V74" s="3" t="s">
        <v>27</v>
      </c>
      <c r="W74" s="3">
        <v>2</v>
      </c>
      <c r="X74" s="3">
        <v>1</v>
      </c>
      <c r="Y74" s="3" t="s">
        <v>27</v>
      </c>
    </row>
    <row r="75" spans="1:25" x14ac:dyDescent="0.2">
      <c r="A75" s="2">
        <v>45917.848275462966</v>
      </c>
      <c r="B75" t="s">
        <v>148</v>
      </c>
      <c r="C75" t="s">
        <v>149</v>
      </c>
      <c r="D75" t="str">
        <f>"0527147064"</f>
        <v>0527147064</v>
      </c>
      <c r="H75" s="3" t="s">
        <v>27</v>
      </c>
      <c r="I75" s="3" t="s">
        <v>27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>
        <v>1</v>
      </c>
      <c r="R75" s="3" t="s">
        <v>27</v>
      </c>
      <c r="S75" s="3">
        <v>1</v>
      </c>
      <c r="T75" s="3" t="s">
        <v>27</v>
      </c>
      <c r="U75" s="3" t="s">
        <v>27</v>
      </c>
      <c r="V75" s="3" t="s">
        <v>27</v>
      </c>
      <c r="W75" s="3">
        <v>1</v>
      </c>
      <c r="X75" s="3" t="s">
        <v>27</v>
      </c>
      <c r="Y75" s="3" t="s">
        <v>27</v>
      </c>
    </row>
    <row r="76" spans="1:25" x14ac:dyDescent="0.2">
      <c r="A76" s="2">
        <v>45914.814699074072</v>
      </c>
      <c r="B76" t="s">
        <v>150</v>
      </c>
      <c r="C76" t="s">
        <v>151</v>
      </c>
      <c r="D76" t="str">
        <f>"0527161585"</f>
        <v>0527161585</v>
      </c>
      <c r="H76" s="3" t="s">
        <v>27</v>
      </c>
      <c r="I76" s="3" t="s">
        <v>27</v>
      </c>
      <c r="J76" s="3" t="s">
        <v>27</v>
      </c>
      <c r="K76" s="3" t="s">
        <v>27</v>
      </c>
      <c r="L76" s="3">
        <v>1</v>
      </c>
      <c r="M76" s="3" t="s">
        <v>27</v>
      </c>
      <c r="N76" s="3">
        <v>1</v>
      </c>
      <c r="O76" s="3" t="s">
        <v>27</v>
      </c>
      <c r="P76" s="3" t="s">
        <v>27</v>
      </c>
      <c r="Q76" s="3" t="s">
        <v>27</v>
      </c>
      <c r="R76" s="3" t="s">
        <v>27</v>
      </c>
      <c r="S76" s="3">
        <v>1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  <c r="Y76" s="3" t="s">
        <v>27</v>
      </c>
    </row>
    <row r="77" spans="1:25" x14ac:dyDescent="0.2">
      <c r="A77" s="2">
        <v>45914.508668981478</v>
      </c>
      <c r="B77" t="s">
        <v>152</v>
      </c>
      <c r="C77" t="s">
        <v>56</v>
      </c>
      <c r="D77" t="str">
        <f>"0533191540"</f>
        <v>0533191540</v>
      </c>
      <c r="H77" s="3">
        <v>2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>
        <v>2</v>
      </c>
      <c r="O77" s="3" t="s">
        <v>27</v>
      </c>
      <c r="P77" s="3" t="s">
        <v>27</v>
      </c>
      <c r="Q77" s="3" t="s">
        <v>27</v>
      </c>
      <c r="R77" s="3" t="s">
        <v>27</v>
      </c>
      <c r="S77" s="3">
        <v>2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  <c r="Y77" s="3" t="s">
        <v>27</v>
      </c>
    </row>
    <row r="78" spans="1:25" x14ac:dyDescent="0.2">
      <c r="A78" s="2">
        <v>45916.34034722222</v>
      </c>
      <c r="B78" t="s">
        <v>152</v>
      </c>
      <c r="C78" t="s">
        <v>153</v>
      </c>
      <c r="D78" t="str">
        <f>"0527664500"</f>
        <v>0527664500</v>
      </c>
      <c r="H78" s="3">
        <v>1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>
        <v>1</v>
      </c>
      <c r="O78" s="3" t="s">
        <v>27</v>
      </c>
      <c r="P78" s="3" t="s">
        <v>27</v>
      </c>
      <c r="Q78" s="3" t="s">
        <v>27</v>
      </c>
      <c r="R78" s="3" t="s">
        <v>27</v>
      </c>
      <c r="S78" s="3">
        <v>1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  <c r="Y78" s="3" t="s">
        <v>27</v>
      </c>
    </row>
    <row r="79" spans="1:25" x14ac:dyDescent="0.2">
      <c r="A79" s="2">
        <v>45917.366076388891</v>
      </c>
      <c r="B79" t="s">
        <v>154</v>
      </c>
      <c r="C79" t="s">
        <v>137</v>
      </c>
      <c r="D79" t="str">
        <f>"0527116185"</f>
        <v>0527116185</v>
      </c>
      <c r="F79" t="s">
        <v>155</v>
      </c>
      <c r="H79" s="3" t="s">
        <v>27</v>
      </c>
      <c r="I79" s="3" t="s">
        <v>27</v>
      </c>
      <c r="J79" s="3" t="s">
        <v>27</v>
      </c>
      <c r="K79" s="3" t="s">
        <v>27</v>
      </c>
      <c r="L79" s="3">
        <v>1</v>
      </c>
      <c r="M79" s="3" t="s">
        <v>27</v>
      </c>
      <c r="N79" s="3">
        <v>1</v>
      </c>
      <c r="O79" s="3" t="s">
        <v>27</v>
      </c>
      <c r="P79" s="3" t="s">
        <v>27</v>
      </c>
      <c r="Q79" s="3" t="s">
        <v>27</v>
      </c>
      <c r="R79" s="3" t="s">
        <v>27</v>
      </c>
      <c r="S79" s="3">
        <v>1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  <c r="Y79" s="3" t="s">
        <v>27</v>
      </c>
    </row>
    <row r="80" spans="1:25" x14ac:dyDescent="0.2">
      <c r="A80" s="2">
        <v>45915.993668981479</v>
      </c>
      <c r="B80" t="s">
        <v>156</v>
      </c>
      <c r="C80" t="s">
        <v>62</v>
      </c>
      <c r="D80" t="str">
        <f>"0533175063"</f>
        <v>0533175063</v>
      </c>
      <c r="E80" t="str">
        <f>"0527102178"</f>
        <v>0527102178</v>
      </c>
      <c r="G80" t="s">
        <v>157</v>
      </c>
      <c r="H80" s="3">
        <v>1</v>
      </c>
      <c r="I80" s="3" t="s">
        <v>27</v>
      </c>
      <c r="J80" s="3" t="s">
        <v>27</v>
      </c>
      <c r="K80" s="3">
        <v>1</v>
      </c>
      <c r="L80" s="3" t="s">
        <v>27</v>
      </c>
      <c r="M80" s="3" t="s">
        <v>27</v>
      </c>
      <c r="N80" s="3">
        <v>1</v>
      </c>
      <c r="O80" s="3" t="s">
        <v>27</v>
      </c>
      <c r="P80" s="3" t="s">
        <v>27</v>
      </c>
      <c r="Q80" s="3" t="s">
        <v>27</v>
      </c>
      <c r="R80" s="3" t="s">
        <v>27</v>
      </c>
      <c r="S80" s="3">
        <v>1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  <c r="Y80" s="3" t="s">
        <v>27</v>
      </c>
    </row>
    <row r="81" spans="1:25" x14ac:dyDescent="0.2">
      <c r="A81" s="2">
        <v>45917.375196759262</v>
      </c>
      <c r="B81" t="s">
        <v>158</v>
      </c>
      <c r="C81" t="s">
        <v>36</v>
      </c>
      <c r="D81" t="str">
        <f>"0556737971"</f>
        <v>0556737971</v>
      </c>
      <c r="E81" t="str">
        <f>"0556721044"</f>
        <v>0556721044</v>
      </c>
      <c r="H81" s="3" t="s">
        <v>27</v>
      </c>
      <c r="I81" s="3">
        <v>1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>
        <v>1</v>
      </c>
      <c r="P81" s="3" t="s">
        <v>27</v>
      </c>
      <c r="Q81" s="3" t="s">
        <v>27</v>
      </c>
      <c r="R81" s="3" t="s">
        <v>27</v>
      </c>
      <c r="S81" s="3">
        <v>1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  <c r="Y81" s="3" t="s">
        <v>27</v>
      </c>
    </row>
    <row r="82" spans="1:25" x14ac:dyDescent="0.2">
      <c r="A82" s="2">
        <v>45916.965879629628</v>
      </c>
      <c r="B82" t="s">
        <v>159</v>
      </c>
      <c r="C82" t="s">
        <v>56</v>
      </c>
      <c r="D82" t="str">
        <f>"0504176879"</f>
        <v>0504176879</v>
      </c>
      <c r="H82" s="3" t="s">
        <v>27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>
        <v>1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  <c r="Y82" s="3" t="s">
        <v>27</v>
      </c>
    </row>
    <row r="83" spans="1:25" x14ac:dyDescent="0.2">
      <c r="A83" s="2">
        <v>45917.053888888891</v>
      </c>
      <c r="B83" t="s">
        <v>160</v>
      </c>
      <c r="C83" t="s">
        <v>45</v>
      </c>
      <c r="D83" t="str">
        <f>"0527139588"</f>
        <v>0527139588</v>
      </c>
      <c r="H83" s="3" t="s">
        <v>27</v>
      </c>
      <c r="I83" s="3" t="s">
        <v>27</v>
      </c>
      <c r="J83" s="3" t="s">
        <v>27</v>
      </c>
      <c r="K83" s="3">
        <v>1</v>
      </c>
      <c r="L83" s="3" t="s">
        <v>27</v>
      </c>
      <c r="M83" s="3" t="s">
        <v>27</v>
      </c>
      <c r="N83" s="3">
        <v>1</v>
      </c>
      <c r="O83" s="3" t="s">
        <v>27</v>
      </c>
      <c r="P83" s="3" t="s">
        <v>27</v>
      </c>
      <c r="Q83" s="3" t="s">
        <v>27</v>
      </c>
      <c r="R83" s="3">
        <v>1</v>
      </c>
      <c r="S83" s="3" t="s">
        <v>27</v>
      </c>
      <c r="T83" s="3" t="s">
        <v>27</v>
      </c>
      <c r="U83" s="3">
        <v>1</v>
      </c>
      <c r="V83" s="3" t="s">
        <v>27</v>
      </c>
      <c r="W83" s="3" t="s">
        <v>27</v>
      </c>
      <c r="X83" s="3" t="s">
        <v>27</v>
      </c>
      <c r="Y83" s="3" t="s">
        <v>27</v>
      </c>
    </row>
    <row r="84" spans="1:25" x14ac:dyDescent="0.2">
      <c r="A84" s="2">
        <v>45917.297627314816</v>
      </c>
      <c r="B84" t="s">
        <v>160</v>
      </c>
      <c r="C84" t="s">
        <v>161</v>
      </c>
      <c r="D84" t="str">
        <f>"0548534362"</f>
        <v>0548534362</v>
      </c>
      <c r="E84" t="str">
        <f>"0504117946"</f>
        <v>0504117946</v>
      </c>
      <c r="H84" s="3" t="s">
        <v>27</v>
      </c>
      <c r="I84" s="3">
        <v>1</v>
      </c>
      <c r="J84" s="3" t="s">
        <v>27</v>
      </c>
      <c r="K84" s="3" t="s">
        <v>27</v>
      </c>
      <c r="L84" s="3" t="s">
        <v>27</v>
      </c>
      <c r="M84" s="3" t="s">
        <v>27</v>
      </c>
      <c r="N84" s="3">
        <v>1</v>
      </c>
      <c r="O84" s="3" t="s">
        <v>27</v>
      </c>
      <c r="P84" s="3" t="s">
        <v>27</v>
      </c>
      <c r="Q84" s="3" t="s">
        <v>27</v>
      </c>
      <c r="R84" s="3">
        <v>1</v>
      </c>
      <c r="S84" s="3" t="s">
        <v>27</v>
      </c>
      <c r="T84" s="3">
        <v>1</v>
      </c>
      <c r="U84" s="3" t="s">
        <v>27</v>
      </c>
      <c r="V84" s="3">
        <v>4</v>
      </c>
      <c r="W84" s="3" t="s">
        <v>27</v>
      </c>
      <c r="X84" s="3" t="s">
        <v>27</v>
      </c>
      <c r="Y84" s="3" t="s">
        <v>27</v>
      </c>
    </row>
    <row r="85" spans="1:25" x14ac:dyDescent="0.2">
      <c r="A85" s="2">
        <v>45917.551180555558</v>
      </c>
      <c r="B85" t="s">
        <v>162</v>
      </c>
      <c r="C85" t="s">
        <v>163</v>
      </c>
      <c r="D85" t="str">
        <f>"0548523044"</f>
        <v>0548523044</v>
      </c>
      <c r="H85" s="3">
        <v>1</v>
      </c>
      <c r="I85" s="3" t="s">
        <v>27</v>
      </c>
      <c r="J85" s="3">
        <v>1</v>
      </c>
      <c r="K85" s="3" t="s">
        <v>27</v>
      </c>
      <c r="L85" s="3" t="s">
        <v>27</v>
      </c>
      <c r="M85" s="3" t="s">
        <v>27</v>
      </c>
      <c r="N85" s="3">
        <v>1</v>
      </c>
      <c r="O85" s="3" t="s">
        <v>27</v>
      </c>
      <c r="P85" s="3">
        <v>1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  <c r="Y85" s="3" t="s">
        <v>27</v>
      </c>
    </row>
    <row r="86" spans="1:25" x14ac:dyDescent="0.2">
      <c r="A86" s="2">
        <v>45916.77511574074</v>
      </c>
      <c r="B86" t="s">
        <v>164</v>
      </c>
      <c r="C86" t="s">
        <v>56</v>
      </c>
      <c r="D86" t="str">
        <f>"0548589781"</f>
        <v>0548589781</v>
      </c>
      <c r="E86" t="str">
        <f>"0527658270"</f>
        <v>0527658270</v>
      </c>
      <c r="F86" t="s">
        <v>165</v>
      </c>
      <c r="H86" s="3">
        <v>1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>
        <v>1</v>
      </c>
      <c r="U86" s="3" t="s">
        <v>27</v>
      </c>
      <c r="V86" s="3" t="s">
        <v>27</v>
      </c>
      <c r="W86" s="3" t="s">
        <v>27</v>
      </c>
      <c r="X86" s="3">
        <v>1</v>
      </c>
      <c r="Y86" s="3" t="s">
        <v>27</v>
      </c>
    </row>
    <row r="87" spans="1:25" x14ac:dyDescent="0.2">
      <c r="A87" s="2">
        <v>45916.372847222221</v>
      </c>
      <c r="B87" t="s">
        <v>166</v>
      </c>
      <c r="C87" t="s">
        <v>167</v>
      </c>
      <c r="D87" t="str">
        <f>"0548415051"</f>
        <v>0548415051</v>
      </c>
      <c r="H87" s="3">
        <v>1</v>
      </c>
      <c r="I87" s="3" t="s">
        <v>27</v>
      </c>
      <c r="J87" s="3" t="s">
        <v>27</v>
      </c>
      <c r="K87" s="3">
        <v>1</v>
      </c>
      <c r="L87" s="3" t="s">
        <v>27</v>
      </c>
      <c r="M87" s="3" t="s">
        <v>27</v>
      </c>
      <c r="N87" s="3">
        <v>1</v>
      </c>
      <c r="O87" s="3" t="s">
        <v>27</v>
      </c>
      <c r="P87" s="3">
        <v>1</v>
      </c>
      <c r="Q87" s="3" t="s">
        <v>27</v>
      </c>
      <c r="R87" s="3">
        <v>1</v>
      </c>
      <c r="S87" s="3">
        <v>1</v>
      </c>
      <c r="T87" s="3">
        <v>1</v>
      </c>
      <c r="U87" s="3">
        <v>1</v>
      </c>
      <c r="V87" s="3" t="s">
        <v>27</v>
      </c>
      <c r="W87" s="3" t="s">
        <v>27</v>
      </c>
      <c r="X87" s="3" t="s">
        <v>27</v>
      </c>
      <c r="Y87" s="3" t="s">
        <v>27</v>
      </c>
    </row>
    <row r="88" spans="1:25" x14ac:dyDescent="0.2">
      <c r="A88" s="2">
        <v>45916.414629629631</v>
      </c>
      <c r="B88" t="s">
        <v>168</v>
      </c>
      <c r="C88" t="s">
        <v>161</v>
      </c>
      <c r="D88" t="str">
        <f>"089790782"</f>
        <v>089790782</v>
      </c>
      <c r="E88" t="str">
        <f>"0527177425"</f>
        <v>0527177425</v>
      </c>
      <c r="H88" s="3" t="s">
        <v>27</v>
      </c>
      <c r="I88" s="3" t="s">
        <v>27</v>
      </c>
      <c r="J88" s="3" t="s">
        <v>27</v>
      </c>
      <c r="K88" s="3" t="s">
        <v>27</v>
      </c>
      <c r="L88" s="3">
        <v>3</v>
      </c>
      <c r="M88" s="3" t="s">
        <v>27</v>
      </c>
      <c r="N88" s="3">
        <v>3</v>
      </c>
      <c r="O88" s="3" t="s">
        <v>27</v>
      </c>
      <c r="P88" s="3" t="s">
        <v>27</v>
      </c>
      <c r="Q88" s="3" t="s">
        <v>27</v>
      </c>
      <c r="R88" s="3" t="s">
        <v>27</v>
      </c>
      <c r="S88" s="3">
        <v>3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27</v>
      </c>
    </row>
    <row r="89" spans="1:25" x14ac:dyDescent="0.2">
      <c r="A89" s="2">
        <v>45916.710162037038</v>
      </c>
      <c r="B89" t="s">
        <v>169</v>
      </c>
      <c r="C89" t="s">
        <v>60</v>
      </c>
      <c r="D89" t="str">
        <f>"0548474729"</f>
        <v>0548474729</v>
      </c>
      <c r="E89" t="str">
        <f>"0548474728"</f>
        <v>0548474728</v>
      </c>
      <c r="H89" s="3">
        <v>1</v>
      </c>
      <c r="I89" s="3" t="s">
        <v>27</v>
      </c>
      <c r="J89" s="3">
        <v>1</v>
      </c>
      <c r="K89" s="3">
        <v>1</v>
      </c>
      <c r="L89" s="3" t="s">
        <v>27</v>
      </c>
      <c r="M89" s="3" t="s">
        <v>27</v>
      </c>
      <c r="N89" s="3">
        <v>1</v>
      </c>
      <c r="O89" s="3" t="s">
        <v>27</v>
      </c>
      <c r="P89" s="3">
        <v>1</v>
      </c>
      <c r="Q89" s="3" t="s">
        <v>27</v>
      </c>
      <c r="R89" s="3">
        <v>1</v>
      </c>
      <c r="S89" s="3" t="s">
        <v>27</v>
      </c>
      <c r="T89" s="3" t="s">
        <v>27</v>
      </c>
      <c r="U89" s="3">
        <v>1</v>
      </c>
      <c r="V89" s="3" t="s">
        <v>27</v>
      </c>
      <c r="W89" s="3" t="s">
        <v>27</v>
      </c>
      <c r="X89" s="3" t="s">
        <v>27</v>
      </c>
      <c r="Y89" s="3" t="s">
        <v>27</v>
      </c>
    </row>
    <row r="90" spans="1:25" x14ac:dyDescent="0.2">
      <c r="A90" s="2">
        <v>45909.960520833331</v>
      </c>
      <c r="B90" t="s">
        <v>170</v>
      </c>
      <c r="C90" t="s">
        <v>71</v>
      </c>
      <c r="D90" t="str">
        <f>"0527616632"</f>
        <v>0527616632</v>
      </c>
      <c r="H90" s="3">
        <v>1</v>
      </c>
      <c r="I90" s="3" t="s">
        <v>27</v>
      </c>
      <c r="J90" s="3" t="s">
        <v>27</v>
      </c>
      <c r="K90" s="3" t="s">
        <v>27</v>
      </c>
      <c r="L90" s="3" t="s">
        <v>27</v>
      </c>
      <c r="M90" s="3" t="s">
        <v>27</v>
      </c>
      <c r="N90" s="3">
        <v>1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  <c r="Y90" s="3" t="s">
        <v>27</v>
      </c>
    </row>
    <row r="91" spans="1:25" x14ac:dyDescent="0.2">
      <c r="A91" s="2">
        <v>45915.920439814814</v>
      </c>
      <c r="B91" t="s">
        <v>170</v>
      </c>
      <c r="C91" t="s">
        <v>82</v>
      </c>
      <c r="D91" t="str">
        <f>"089798281"</f>
        <v>089798281</v>
      </c>
      <c r="E91" t="str">
        <f>"0504158030"</f>
        <v>0504158030</v>
      </c>
      <c r="H91" s="3">
        <v>2</v>
      </c>
      <c r="I91" s="3" t="s">
        <v>27</v>
      </c>
      <c r="J91" s="3">
        <v>2</v>
      </c>
      <c r="K91" s="3" t="s">
        <v>27</v>
      </c>
      <c r="L91" s="3" t="s">
        <v>27</v>
      </c>
      <c r="M91" s="3" t="s">
        <v>27</v>
      </c>
      <c r="N91" s="3">
        <v>1</v>
      </c>
      <c r="O91" s="3" t="s">
        <v>27</v>
      </c>
      <c r="P91" s="3">
        <v>2</v>
      </c>
      <c r="Q91" s="3" t="s">
        <v>27</v>
      </c>
      <c r="R91" s="3" t="s">
        <v>27</v>
      </c>
      <c r="S91" s="3">
        <v>2</v>
      </c>
      <c r="T91" s="3">
        <v>2</v>
      </c>
      <c r="U91" s="3" t="s">
        <v>27</v>
      </c>
      <c r="V91" s="3">
        <v>4</v>
      </c>
      <c r="W91" s="3">
        <v>1</v>
      </c>
      <c r="X91" s="3">
        <v>3</v>
      </c>
      <c r="Y91" s="3" t="s">
        <v>27</v>
      </c>
    </row>
    <row r="92" spans="1:25" x14ac:dyDescent="0.2">
      <c r="A92" s="2">
        <v>45910.473807870374</v>
      </c>
      <c r="B92" t="s">
        <v>170</v>
      </c>
      <c r="C92" t="s">
        <v>171</v>
      </c>
      <c r="D92" t="str">
        <f>"0583202835"</f>
        <v>0583202835</v>
      </c>
      <c r="F92" t="s">
        <v>172</v>
      </c>
      <c r="G92" t="s">
        <v>173</v>
      </c>
      <c r="H92" s="3" t="s">
        <v>27</v>
      </c>
      <c r="I92" s="3">
        <v>1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>
        <v>1</v>
      </c>
      <c r="P92" s="3" t="s">
        <v>27</v>
      </c>
      <c r="Q92" s="3" t="s">
        <v>27</v>
      </c>
      <c r="R92" s="3" t="s">
        <v>27</v>
      </c>
      <c r="S92" s="3" t="s">
        <v>27</v>
      </c>
      <c r="T92" s="3">
        <v>1</v>
      </c>
      <c r="U92" s="3" t="s">
        <v>27</v>
      </c>
      <c r="V92" s="3">
        <v>1</v>
      </c>
      <c r="W92" s="3">
        <v>1</v>
      </c>
      <c r="X92" s="3" t="s">
        <v>27</v>
      </c>
      <c r="Y92" s="3" t="s">
        <v>27</v>
      </c>
    </row>
    <row r="93" spans="1:25" x14ac:dyDescent="0.2">
      <c r="A93" s="2">
        <v>45916.97724537037</v>
      </c>
      <c r="B93" t="s">
        <v>170</v>
      </c>
      <c r="C93" t="s">
        <v>57</v>
      </c>
      <c r="D93" t="str">
        <f>"0583203418"</f>
        <v>0583203418</v>
      </c>
      <c r="F93" t="s">
        <v>174</v>
      </c>
      <c r="H93" s="3">
        <v>1</v>
      </c>
      <c r="I93" s="3" t="s">
        <v>27</v>
      </c>
      <c r="J93" s="3" t="s">
        <v>27</v>
      </c>
      <c r="K93" s="3" t="s">
        <v>27</v>
      </c>
      <c r="L93" s="3" t="s">
        <v>27</v>
      </c>
      <c r="M93" s="3" t="s">
        <v>27</v>
      </c>
      <c r="N93" s="3">
        <v>1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  <c r="Y93" s="3" t="s">
        <v>27</v>
      </c>
    </row>
    <row r="94" spans="1:25" x14ac:dyDescent="0.2">
      <c r="A94" s="2">
        <v>45916.958067129628</v>
      </c>
      <c r="B94" t="s">
        <v>175</v>
      </c>
      <c r="C94" t="s">
        <v>176</v>
      </c>
      <c r="D94" t="str">
        <f>"0548429702"</f>
        <v>0548429702</v>
      </c>
      <c r="H94" s="3">
        <v>1</v>
      </c>
      <c r="I94" s="3" t="s">
        <v>27</v>
      </c>
      <c r="J94" s="3" t="s">
        <v>27</v>
      </c>
      <c r="K94" s="3">
        <v>2</v>
      </c>
      <c r="L94" s="3" t="s">
        <v>27</v>
      </c>
      <c r="M94" s="3" t="s">
        <v>27</v>
      </c>
      <c r="N94" s="3">
        <v>1</v>
      </c>
      <c r="O94" s="3" t="s">
        <v>27</v>
      </c>
      <c r="P94" s="3" t="s">
        <v>27</v>
      </c>
      <c r="Q94" s="3" t="s">
        <v>27</v>
      </c>
      <c r="R94" s="3">
        <v>2</v>
      </c>
      <c r="S94" s="3" t="s">
        <v>27</v>
      </c>
      <c r="T94" s="3">
        <v>2</v>
      </c>
      <c r="U94" s="3">
        <v>2</v>
      </c>
      <c r="V94" s="3" t="s">
        <v>27</v>
      </c>
      <c r="W94" s="3" t="s">
        <v>27</v>
      </c>
      <c r="X94" s="3">
        <v>3</v>
      </c>
      <c r="Y94" s="3" t="s">
        <v>27</v>
      </c>
    </row>
    <row r="95" spans="1:25" x14ac:dyDescent="0.2">
      <c r="A95" s="2">
        <v>45917.033090277779</v>
      </c>
      <c r="B95" t="s">
        <v>175</v>
      </c>
      <c r="C95" t="s">
        <v>141</v>
      </c>
      <c r="D95" t="str">
        <f>"089317545"</f>
        <v>089317545</v>
      </c>
      <c r="E95" t="str">
        <f>"0548494484"</f>
        <v>0548494484</v>
      </c>
      <c r="F95" t="s">
        <v>177</v>
      </c>
      <c r="H95" s="3">
        <v>1</v>
      </c>
      <c r="I95" s="3" t="s">
        <v>27</v>
      </c>
      <c r="J95" s="3" t="s">
        <v>27</v>
      </c>
      <c r="K95" s="3" t="s">
        <v>27</v>
      </c>
      <c r="L95" s="3" t="s">
        <v>27</v>
      </c>
      <c r="M95" s="3" t="s">
        <v>27</v>
      </c>
      <c r="N95" s="3">
        <v>1</v>
      </c>
      <c r="O95" s="3" t="s">
        <v>27</v>
      </c>
      <c r="P95" s="3" t="s">
        <v>27</v>
      </c>
      <c r="Q95" s="3" t="s">
        <v>27</v>
      </c>
      <c r="R95" s="3" t="s">
        <v>27</v>
      </c>
      <c r="S95" s="3">
        <v>1</v>
      </c>
      <c r="T95" s="3" t="s">
        <v>27</v>
      </c>
      <c r="U95" s="3" t="s">
        <v>27</v>
      </c>
      <c r="V95" s="3" t="s">
        <v>27</v>
      </c>
      <c r="W95" s="3" t="s">
        <v>27</v>
      </c>
      <c r="X95" s="3">
        <v>1</v>
      </c>
      <c r="Y95" s="3" t="s">
        <v>27</v>
      </c>
    </row>
    <row r="96" spans="1:25" x14ac:dyDescent="0.2">
      <c r="A96" s="2">
        <v>45916.444398148145</v>
      </c>
      <c r="B96" t="s">
        <v>178</v>
      </c>
      <c r="C96" t="s">
        <v>40</v>
      </c>
      <c r="D96" t="str">
        <f>"0533126517"</f>
        <v>0533126517</v>
      </c>
      <c r="H96" s="3" t="s">
        <v>27</v>
      </c>
      <c r="I96" s="3" t="s">
        <v>27</v>
      </c>
      <c r="J96" s="3" t="s">
        <v>27</v>
      </c>
      <c r="K96" s="3" t="s">
        <v>27</v>
      </c>
      <c r="L96" s="3" t="s">
        <v>27</v>
      </c>
      <c r="M96" s="3" t="s">
        <v>27</v>
      </c>
      <c r="N96" s="3">
        <v>1</v>
      </c>
      <c r="O96" s="3" t="s">
        <v>27</v>
      </c>
      <c r="P96" s="3" t="s">
        <v>27</v>
      </c>
      <c r="Q96" s="3" t="s">
        <v>27</v>
      </c>
      <c r="R96" s="3" t="s">
        <v>27</v>
      </c>
      <c r="S96" s="3">
        <v>1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27</v>
      </c>
    </row>
    <row r="97" spans="1:25" x14ac:dyDescent="0.2">
      <c r="A97" s="2">
        <v>45916.075057870374</v>
      </c>
      <c r="B97" t="s">
        <v>178</v>
      </c>
      <c r="C97" t="s">
        <v>179</v>
      </c>
      <c r="D97" t="str">
        <f>"0583294246"</f>
        <v>0583294246</v>
      </c>
      <c r="E97" t="str">
        <f>"0548494246"</f>
        <v>0548494246</v>
      </c>
      <c r="F97" t="s">
        <v>180</v>
      </c>
      <c r="H97" s="3" t="s">
        <v>27</v>
      </c>
      <c r="I97" s="3" t="s">
        <v>27</v>
      </c>
      <c r="J97" s="3">
        <v>1</v>
      </c>
      <c r="K97" s="3">
        <v>1</v>
      </c>
      <c r="L97" s="3">
        <v>1</v>
      </c>
      <c r="M97" s="3" t="s">
        <v>27</v>
      </c>
      <c r="N97" s="3">
        <v>1</v>
      </c>
      <c r="O97" s="3" t="s">
        <v>27</v>
      </c>
      <c r="P97" s="3">
        <v>1</v>
      </c>
      <c r="Q97" s="3" t="s">
        <v>27</v>
      </c>
      <c r="R97" s="3">
        <v>1</v>
      </c>
      <c r="S97" s="3">
        <v>1</v>
      </c>
      <c r="T97" s="3">
        <v>1</v>
      </c>
      <c r="U97" s="3">
        <v>1</v>
      </c>
      <c r="V97" s="3">
        <v>2</v>
      </c>
      <c r="W97" s="3">
        <v>3</v>
      </c>
      <c r="X97" s="3" t="s">
        <v>27</v>
      </c>
      <c r="Y97" s="3" t="s">
        <v>27</v>
      </c>
    </row>
    <row r="98" spans="1:25" x14ac:dyDescent="0.2">
      <c r="A98" s="2">
        <v>45910.946851851855</v>
      </c>
      <c r="B98" t="s">
        <v>181</v>
      </c>
      <c r="C98" t="s">
        <v>161</v>
      </c>
      <c r="D98" t="str">
        <f>"0527606991"</f>
        <v>0527606991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  <c r="M98" s="3">
        <v>1</v>
      </c>
      <c r="N98" s="3">
        <v>1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>
        <v>1</v>
      </c>
      <c r="W98" s="3" t="s">
        <v>27</v>
      </c>
      <c r="X98" s="3" t="s">
        <v>27</v>
      </c>
      <c r="Y98" s="3" t="s">
        <v>27</v>
      </c>
    </row>
    <row r="99" spans="1:25" x14ac:dyDescent="0.2">
      <c r="A99" s="2">
        <v>45915.27034722222</v>
      </c>
      <c r="B99" t="s">
        <v>182</v>
      </c>
      <c r="C99" t="s">
        <v>183</v>
      </c>
      <c r="D99" t="str">
        <f>"0527185576"</f>
        <v>0527185576</v>
      </c>
      <c r="H99" s="3">
        <v>1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>
        <v>1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  <c r="Y99" s="3" t="s">
        <v>27</v>
      </c>
    </row>
    <row r="100" spans="1:25" x14ac:dyDescent="0.2">
      <c r="A100" s="2">
        <v>45917.00408564815</v>
      </c>
      <c r="B100" t="s">
        <v>184</v>
      </c>
      <c r="C100" t="s">
        <v>96</v>
      </c>
      <c r="D100" t="str">
        <f>"0583245153"</f>
        <v>0583245153</v>
      </c>
      <c r="E100" t="str">
        <f>"0583299895"</f>
        <v>0583299895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>
        <v>1</v>
      </c>
      <c r="P100" s="3" t="s">
        <v>27</v>
      </c>
      <c r="Q100" s="3" t="s">
        <v>27</v>
      </c>
      <c r="R100" s="3" t="s">
        <v>27</v>
      </c>
      <c r="S100" s="3">
        <v>1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  <c r="Y100" s="3" t="s">
        <v>27</v>
      </c>
    </row>
    <row r="101" spans="1:25" x14ac:dyDescent="0.2">
      <c r="A101" s="2">
        <v>45915.91369212963</v>
      </c>
      <c r="B101" t="s">
        <v>185</v>
      </c>
      <c r="C101" t="s">
        <v>143</v>
      </c>
      <c r="D101" t="str">
        <f>"0548543294"</f>
        <v>0548543294</v>
      </c>
      <c r="E101" t="str">
        <f>"0533161335"</f>
        <v>0533161335</v>
      </c>
      <c r="F101" t="s">
        <v>186</v>
      </c>
      <c r="H101" s="3" t="s">
        <v>27</v>
      </c>
      <c r="I101" s="3" t="s">
        <v>27</v>
      </c>
      <c r="J101" s="3" t="s">
        <v>27</v>
      </c>
      <c r="K101" s="3" t="s">
        <v>27</v>
      </c>
      <c r="L101" s="3">
        <v>1</v>
      </c>
      <c r="M101" s="3" t="s">
        <v>27</v>
      </c>
      <c r="N101" s="3">
        <v>1</v>
      </c>
      <c r="O101" s="3" t="s">
        <v>27</v>
      </c>
      <c r="P101" s="3" t="s">
        <v>27</v>
      </c>
      <c r="Q101" s="3" t="s">
        <v>27</v>
      </c>
      <c r="R101" s="3" t="s">
        <v>27</v>
      </c>
      <c r="S101" s="3">
        <v>1</v>
      </c>
      <c r="T101" s="3" t="s">
        <v>27</v>
      </c>
      <c r="U101" s="3" t="s">
        <v>27</v>
      </c>
      <c r="V101" s="3">
        <v>1</v>
      </c>
      <c r="W101" s="3">
        <v>1</v>
      </c>
      <c r="X101" s="3" t="s">
        <v>27</v>
      </c>
      <c r="Y101" s="3" t="s">
        <v>27</v>
      </c>
    </row>
    <row r="102" spans="1:25" x14ac:dyDescent="0.2">
      <c r="A102" s="2">
        <v>45916.870370370372</v>
      </c>
      <c r="B102" t="s">
        <v>187</v>
      </c>
      <c r="C102" t="s">
        <v>119</v>
      </c>
      <c r="D102" t="str">
        <f>"0533176219"</f>
        <v>0533176219</v>
      </c>
      <c r="E102" t="str">
        <f>"0533176211"</f>
        <v>0533176211</v>
      </c>
      <c r="H102" s="3">
        <v>1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>
        <v>1</v>
      </c>
      <c r="O102" s="3" t="s">
        <v>27</v>
      </c>
      <c r="P102" s="3" t="s">
        <v>27</v>
      </c>
      <c r="Q102" s="3" t="s">
        <v>27</v>
      </c>
      <c r="R102" s="3" t="s">
        <v>27</v>
      </c>
      <c r="S102" s="3">
        <v>1</v>
      </c>
      <c r="T102" s="3" t="s">
        <v>27</v>
      </c>
      <c r="U102" s="3" t="s">
        <v>27</v>
      </c>
      <c r="V102" s="3" t="s">
        <v>27</v>
      </c>
      <c r="W102" s="3">
        <v>1</v>
      </c>
      <c r="X102" s="3" t="s">
        <v>27</v>
      </c>
      <c r="Y102" s="3" t="s">
        <v>27</v>
      </c>
    </row>
    <row r="103" spans="1:25" x14ac:dyDescent="0.2">
      <c r="A103" s="2">
        <v>45915.777187500003</v>
      </c>
      <c r="B103" t="s">
        <v>188</v>
      </c>
      <c r="C103" t="s">
        <v>189</v>
      </c>
      <c r="D103" t="str">
        <f>"0583250344"</f>
        <v>0583250344</v>
      </c>
      <c r="H103" s="3">
        <v>1</v>
      </c>
      <c r="I103" s="3" t="s">
        <v>27</v>
      </c>
      <c r="J103" s="3" t="s">
        <v>27</v>
      </c>
      <c r="K103" s="3" t="s">
        <v>27</v>
      </c>
      <c r="L103" s="3" t="s">
        <v>27</v>
      </c>
      <c r="M103" s="3" t="s">
        <v>27</v>
      </c>
      <c r="N103" s="3">
        <v>1</v>
      </c>
      <c r="O103" s="3" t="s">
        <v>27</v>
      </c>
      <c r="P103" s="3" t="s">
        <v>27</v>
      </c>
      <c r="Q103" s="3" t="s">
        <v>27</v>
      </c>
      <c r="R103" s="3">
        <v>2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27</v>
      </c>
    </row>
    <row r="104" spans="1:25" x14ac:dyDescent="0.2">
      <c r="A104" s="2">
        <v>45914.920960648145</v>
      </c>
      <c r="B104" t="s">
        <v>190</v>
      </c>
      <c r="C104" t="s">
        <v>40</v>
      </c>
      <c r="D104" t="str">
        <f>"0527691185"</f>
        <v>0527691185</v>
      </c>
      <c r="H104" s="3" t="s">
        <v>27</v>
      </c>
      <c r="I104" s="3">
        <v>1</v>
      </c>
      <c r="J104" s="3" t="s">
        <v>27</v>
      </c>
      <c r="K104" s="3" t="s">
        <v>27</v>
      </c>
      <c r="L104" s="3" t="s">
        <v>27</v>
      </c>
      <c r="M104" s="3" t="s">
        <v>27</v>
      </c>
      <c r="N104" s="3">
        <v>1</v>
      </c>
      <c r="O104" s="3" t="s">
        <v>27</v>
      </c>
      <c r="P104" s="3" t="s">
        <v>27</v>
      </c>
      <c r="Q104" s="3" t="s">
        <v>27</v>
      </c>
      <c r="R104" s="3" t="s">
        <v>27</v>
      </c>
      <c r="S104" s="3">
        <v>1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  <c r="Y104" s="3" t="s">
        <v>27</v>
      </c>
    </row>
    <row r="105" spans="1:25" x14ac:dyDescent="0.2">
      <c r="A105" s="2">
        <v>45909.962314814817</v>
      </c>
      <c r="B105" t="s">
        <v>191</v>
      </c>
      <c r="C105" t="s">
        <v>192</v>
      </c>
      <c r="D105" t="str">
        <f>"0523992813"</f>
        <v>0523992813</v>
      </c>
      <c r="F105" t="s">
        <v>193</v>
      </c>
      <c r="G105" t="s">
        <v>194</v>
      </c>
      <c r="H105" s="3" t="s">
        <v>27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>
        <v>1</v>
      </c>
      <c r="O105" s="3" t="s">
        <v>27</v>
      </c>
      <c r="P105" s="3">
        <v>1</v>
      </c>
      <c r="Q105" s="3">
        <v>1</v>
      </c>
      <c r="R105" s="3" t="s">
        <v>27</v>
      </c>
      <c r="S105" s="3">
        <v>2</v>
      </c>
      <c r="T105" s="3">
        <v>1</v>
      </c>
      <c r="U105" s="3" t="s">
        <v>27</v>
      </c>
      <c r="V105" s="3" t="s">
        <v>27</v>
      </c>
      <c r="W105" s="3" t="s">
        <v>27</v>
      </c>
      <c r="X105" s="3" t="s">
        <v>27</v>
      </c>
      <c r="Y105" s="3" t="s">
        <v>27</v>
      </c>
    </row>
    <row r="106" spans="1:25" x14ac:dyDescent="0.2">
      <c r="A106" s="2">
        <v>45908.98841435185</v>
      </c>
      <c r="B106" t="s">
        <v>195</v>
      </c>
      <c r="C106" t="s">
        <v>119</v>
      </c>
      <c r="D106" t="str">
        <f>"0527642390"</f>
        <v>0527642390</v>
      </c>
      <c r="F106" t="s">
        <v>196</v>
      </c>
      <c r="H106" s="3">
        <v>1</v>
      </c>
      <c r="I106" s="3" t="s">
        <v>27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>
        <v>1</v>
      </c>
      <c r="S106" s="3">
        <v>1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  <c r="Y106" s="3" t="s">
        <v>27</v>
      </c>
    </row>
    <row r="107" spans="1:25" x14ac:dyDescent="0.2">
      <c r="A107" s="2">
        <v>45918.414050925923</v>
      </c>
      <c r="B107" t="s">
        <v>197</v>
      </c>
      <c r="C107" t="s">
        <v>82</v>
      </c>
      <c r="D107" t="str">
        <f>"0547979005"</f>
        <v>0547979005</v>
      </c>
      <c r="E107" t="str">
        <f>"0547979005"</f>
        <v>0547979005</v>
      </c>
      <c r="F107" t="s">
        <v>198</v>
      </c>
      <c r="G107" t="s">
        <v>199</v>
      </c>
      <c r="H107" s="3">
        <v>2</v>
      </c>
      <c r="I107" s="3" t="s">
        <v>27</v>
      </c>
      <c r="J107" s="3" t="s">
        <v>27</v>
      </c>
      <c r="K107" s="3" t="s">
        <v>27</v>
      </c>
      <c r="L107" s="3">
        <v>2</v>
      </c>
      <c r="M107" s="3" t="s">
        <v>27</v>
      </c>
      <c r="N107" s="3">
        <v>3</v>
      </c>
      <c r="O107" s="3" t="s">
        <v>27</v>
      </c>
      <c r="P107" s="3" t="s">
        <v>27</v>
      </c>
      <c r="Q107" s="3" t="s">
        <v>27</v>
      </c>
      <c r="R107" s="3" t="s">
        <v>27</v>
      </c>
      <c r="S107" s="3">
        <v>3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27</v>
      </c>
    </row>
    <row r="108" spans="1:25" x14ac:dyDescent="0.2">
      <c r="A108" s="2">
        <v>45916.823495370372</v>
      </c>
      <c r="B108" t="s">
        <v>200</v>
      </c>
      <c r="C108" t="s">
        <v>53</v>
      </c>
      <c r="D108" t="str">
        <f>"0548481487"</f>
        <v>0548481487</v>
      </c>
      <c r="H108" s="3" t="s">
        <v>27</v>
      </c>
      <c r="I108" s="3" t="s">
        <v>27</v>
      </c>
      <c r="J108" s="3" t="s">
        <v>27</v>
      </c>
      <c r="K108" s="3" t="s">
        <v>27</v>
      </c>
      <c r="L108" s="3">
        <v>1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27</v>
      </c>
    </row>
    <row r="109" spans="1:25" x14ac:dyDescent="0.2">
      <c r="A109" s="2">
        <v>45916.99931712963</v>
      </c>
      <c r="B109" t="s">
        <v>201</v>
      </c>
      <c r="C109" t="s">
        <v>56</v>
      </c>
      <c r="D109" t="str">
        <f>"0527681606"</f>
        <v>0527681606</v>
      </c>
      <c r="H109" s="3">
        <v>1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  <c r="Y109" s="3" t="s">
        <v>27</v>
      </c>
    </row>
    <row r="110" spans="1:25" x14ac:dyDescent="0.2">
      <c r="A110" s="2">
        <v>45916.732812499999</v>
      </c>
      <c r="B110" t="s">
        <v>202</v>
      </c>
      <c r="C110" t="s">
        <v>60</v>
      </c>
      <c r="D110" t="str">
        <f>"0527661606"</f>
        <v>0527661606</v>
      </c>
      <c r="H110" s="3">
        <v>1</v>
      </c>
      <c r="I110" s="3" t="s">
        <v>27</v>
      </c>
      <c r="J110" s="3">
        <v>1</v>
      </c>
      <c r="K110" s="3">
        <v>1</v>
      </c>
      <c r="L110" s="3" t="s">
        <v>27</v>
      </c>
      <c r="M110" s="3" t="s">
        <v>27</v>
      </c>
      <c r="N110" s="3">
        <v>1</v>
      </c>
      <c r="O110" s="3" t="s">
        <v>27</v>
      </c>
      <c r="P110" s="3">
        <v>1</v>
      </c>
      <c r="Q110" s="3" t="s">
        <v>27</v>
      </c>
      <c r="R110" s="3">
        <v>1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  <c r="Y110" s="3" t="s">
        <v>27</v>
      </c>
    </row>
    <row r="111" spans="1:25" x14ac:dyDescent="0.2">
      <c r="A111" s="2">
        <v>45916.719826388886</v>
      </c>
      <c r="B111" t="s">
        <v>203</v>
      </c>
      <c r="C111" t="s">
        <v>204</v>
      </c>
      <c r="D111" t="str">
        <f>"0548406604"</f>
        <v>0548406604</v>
      </c>
      <c r="H111" s="3">
        <v>2</v>
      </c>
      <c r="I111" s="3" t="s">
        <v>27</v>
      </c>
      <c r="J111" s="3" t="s">
        <v>27</v>
      </c>
      <c r="K111" s="3" t="s">
        <v>27</v>
      </c>
      <c r="L111" s="3">
        <v>3</v>
      </c>
      <c r="M111" s="3" t="s">
        <v>27</v>
      </c>
      <c r="N111" s="3">
        <v>5</v>
      </c>
      <c r="O111" s="3" t="s">
        <v>27</v>
      </c>
      <c r="P111" s="3" t="s">
        <v>27</v>
      </c>
      <c r="Q111" s="3" t="s">
        <v>27</v>
      </c>
      <c r="R111" s="3" t="s">
        <v>27</v>
      </c>
      <c r="S111" s="3">
        <v>5</v>
      </c>
      <c r="T111" s="3" t="s">
        <v>27</v>
      </c>
      <c r="U111" s="3" t="s">
        <v>27</v>
      </c>
      <c r="V111" s="3" t="s">
        <v>27</v>
      </c>
      <c r="W111" s="3">
        <v>3</v>
      </c>
      <c r="X111" s="3" t="s">
        <v>27</v>
      </c>
      <c r="Y111" s="3" t="s">
        <v>27</v>
      </c>
    </row>
    <row r="112" spans="1:25" x14ac:dyDescent="0.2">
      <c r="A112" s="2">
        <v>45917.832731481481</v>
      </c>
      <c r="B112" t="s">
        <v>205</v>
      </c>
      <c r="C112" t="s">
        <v>206</v>
      </c>
      <c r="D112" t="str">
        <f>"0548416336"</f>
        <v>0548416336</v>
      </c>
      <c r="F112" t="s">
        <v>207</v>
      </c>
      <c r="H112" s="3">
        <v>1</v>
      </c>
      <c r="I112" s="3" t="s">
        <v>27</v>
      </c>
      <c r="J112" s="3" t="s">
        <v>27</v>
      </c>
      <c r="K112" s="3" t="s">
        <v>27</v>
      </c>
      <c r="L112" s="3">
        <v>1</v>
      </c>
      <c r="M112" s="3" t="s">
        <v>27</v>
      </c>
      <c r="N112" s="3">
        <v>1</v>
      </c>
      <c r="O112" s="3">
        <v>1</v>
      </c>
      <c r="P112" s="3" t="s">
        <v>27</v>
      </c>
      <c r="Q112" s="3" t="s">
        <v>27</v>
      </c>
      <c r="R112" s="3" t="s">
        <v>27</v>
      </c>
      <c r="S112" s="3">
        <v>2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  <c r="Y112" s="3" t="s">
        <v>27</v>
      </c>
    </row>
    <row r="113" spans="1:25" x14ac:dyDescent="0.2">
      <c r="A113" s="2">
        <v>45916.986805555556</v>
      </c>
      <c r="B113" t="s">
        <v>208</v>
      </c>
      <c r="C113" t="s">
        <v>45</v>
      </c>
      <c r="D113" t="str">
        <f>"0548405930"</f>
        <v>0548405930</v>
      </c>
      <c r="E113" t="str">
        <f>"0548405920"</f>
        <v>0548405920</v>
      </c>
      <c r="H113" s="3">
        <v>2</v>
      </c>
      <c r="I113" s="3" t="s">
        <v>27</v>
      </c>
      <c r="J113" s="3">
        <v>1</v>
      </c>
      <c r="K113" s="3">
        <v>1</v>
      </c>
      <c r="L113" s="3" t="s">
        <v>27</v>
      </c>
      <c r="M113" s="3" t="s">
        <v>27</v>
      </c>
      <c r="N113" s="3">
        <v>2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>
        <v>2</v>
      </c>
      <c r="W113" s="3" t="s">
        <v>27</v>
      </c>
      <c r="X113" s="3" t="s">
        <v>27</v>
      </c>
      <c r="Y113" s="3" t="s">
        <v>27</v>
      </c>
    </row>
    <row r="114" spans="1:25" x14ac:dyDescent="0.2">
      <c r="A114" s="2">
        <v>45914.995775462965</v>
      </c>
      <c r="B114" t="s">
        <v>209</v>
      </c>
      <c r="C114" t="s">
        <v>210</v>
      </c>
      <c r="D114" t="str">
        <f>"0548403153"</f>
        <v>0548403153</v>
      </c>
      <c r="H114" s="3" t="s">
        <v>27</v>
      </c>
      <c r="I114" s="3" t="s">
        <v>27</v>
      </c>
      <c r="J114" s="3" t="s">
        <v>27</v>
      </c>
      <c r="K114" s="3" t="s">
        <v>27</v>
      </c>
      <c r="L114" s="3">
        <v>1</v>
      </c>
      <c r="M114" s="3" t="s">
        <v>27</v>
      </c>
      <c r="N114" s="3">
        <v>1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  <c r="Y114" s="3" t="s">
        <v>27</v>
      </c>
    </row>
    <row r="115" spans="1:25" x14ac:dyDescent="0.2">
      <c r="A115" s="2">
        <v>45917.004745370374</v>
      </c>
      <c r="B115" t="s">
        <v>211</v>
      </c>
      <c r="C115" t="s">
        <v>40</v>
      </c>
      <c r="D115" t="str">
        <f>"0548539064"</f>
        <v>0548539064</v>
      </c>
      <c r="H115" s="3">
        <v>3</v>
      </c>
      <c r="I115" s="3" t="s">
        <v>27</v>
      </c>
      <c r="J115" s="3" t="s">
        <v>27</v>
      </c>
      <c r="K115" s="3" t="s">
        <v>27</v>
      </c>
      <c r="L115" s="3" t="s">
        <v>27</v>
      </c>
      <c r="M115" s="3" t="s">
        <v>27</v>
      </c>
      <c r="N115" s="3">
        <v>3</v>
      </c>
      <c r="O115" s="3" t="s">
        <v>27</v>
      </c>
      <c r="P115" s="3" t="s">
        <v>27</v>
      </c>
      <c r="Q115" s="3" t="s">
        <v>27</v>
      </c>
      <c r="R115" s="3" t="s">
        <v>27</v>
      </c>
      <c r="S115" s="3">
        <v>1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  <c r="Y115" s="3" t="s">
        <v>27</v>
      </c>
    </row>
    <row r="116" spans="1:25" x14ac:dyDescent="0.2">
      <c r="A116" s="2">
        <v>45916.957233796296</v>
      </c>
      <c r="B116" t="s">
        <v>212</v>
      </c>
      <c r="C116" t="s">
        <v>60</v>
      </c>
      <c r="D116" t="str">
        <f>"0504132008"</f>
        <v>0504132008</v>
      </c>
      <c r="E116" t="str">
        <f>"0548496951"</f>
        <v>0548496951</v>
      </c>
      <c r="H116" s="3">
        <v>1</v>
      </c>
      <c r="I116" s="3" t="s">
        <v>27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>
        <v>1</v>
      </c>
      <c r="P116" s="3" t="s">
        <v>27</v>
      </c>
      <c r="Q116" s="3" t="s">
        <v>27</v>
      </c>
      <c r="R116" s="3" t="s">
        <v>27</v>
      </c>
      <c r="S116" s="3">
        <v>1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  <c r="Y116" s="3" t="s">
        <v>27</v>
      </c>
    </row>
    <row r="117" spans="1:25" x14ac:dyDescent="0.2">
      <c r="A117" s="2">
        <v>45916.637627314813</v>
      </c>
      <c r="B117" t="s">
        <v>213</v>
      </c>
      <c r="C117" t="s">
        <v>214</v>
      </c>
      <c r="D117" t="str">
        <f>"089550722"</f>
        <v>089550722</v>
      </c>
      <c r="E117" t="str">
        <f>"0527617085"</f>
        <v>0527617085</v>
      </c>
      <c r="H117" s="3">
        <v>1</v>
      </c>
      <c r="I117" s="3" t="s">
        <v>27</v>
      </c>
      <c r="J117" s="3" t="s">
        <v>27</v>
      </c>
      <c r="K117" s="3">
        <v>1</v>
      </c>
      <c r="L117" s="3" t="s">
        <v>27</v>
      </c>
      <c r="M117" s="3" t="s">
        <v>27</v>
      </c>
      <c r="N117" s="3">
        <v>1</v>
      </c>
      <c r="O117" s="3" t="s">
        <v>27</v>
      </c>
      <c r="P117" s="3" t="s">
        <v>27</v>
      </c>
      <c r="Q117" s="3" t="s">
        <v>27</v>
      </c>
      <c r="R117" s="3">
        <v>1</v>
      </c>
      <c r="S117" s="3">
        <v>1</v>
      </c>
      <c r="T117" s="3" t="s">
        <v>27</v>
      </c>
      <c r="U117" s="3">
        <v>1</v>
      </c>
      <c r="V117" s="3" t="s">
        <v>27</v>
      </c>
      <c r="W117" s="3" t="s">
        <v>27</v>
      </c>
      <c r="X117" s="3" t="s">
        <v>27</v>
      </c>
      <c r="Y117" s="3" t="s">
        <v>27</v>
      </c>
    </row>
    <row r="118" spans="1:25" x14ac:dyDescent="0.2">
      <c r="A118" s="2">
        <v>45915.398217592592</v>
      </c>
      <c r="B118" t="s">
        <v>213</v>
      </c>
      <c r="C118" t="s">
        <v>40</v>
      </c>
      <c r="D118" t="str">
        <f>"0534154440"</f>
        <v>0534154440</v>
      </c>
      <c r="H118" s="3" t="s">
        <v>27</v>
      </c>
      <c r="I118" s="3" t="s">
        <v>27</v>
      </c>
      <c r="J118" s="3" t="s">
        <v>27</v>
      </c>
      <c r="K118" s="3">
        <v>2</v>
      </c>
      <c r="L118" s="3">
        <v>1</v>
      </c>
      <c r="M118" s="3">
        <v>1</v>
      </c>
      <c r="N118" s="3">
        <v>1</v>
      </c>
      <c r="O118" s="3">
        <v>1</v>
      </c>
      <c r="P118" s="3" t="s">
        <v>27</v>
      </c>
      <c r="Q118" s="3" t="s">
        <v>27</v>
      </c>
      <c r="R118" s="3">
        <v>2</v>
      </c>
      <c r="S118" s="3">
        <v>1</v>
      </c>
      <c r="T118" s="3">
        <v>1</v>
      </c>
      <c r="U118" s="3">
        <v>2</v>
      </c>
      <c r="V118" s="3" t="s">
        <v>27</v>
      </c>
      <c r="W118" s="3" t="s">
        <v>27</v>
      </c>
      <c r="X118" s="3" t="s">
        <v>27</v>
      </c>
      <c r="Y118" s="3" t="s">
        <v>27</v>
      </c>
    </row>
    <row r="119" spans="1:25" x14ac:dyDescent="0.2">
      <c r="A119" s="2">
        <v>45916.97755787037</v>
      </c>
      <c r="B119" t="s">
        <v>215</v>
      </c>
      <c r="C119" t="s">
        <v>51</v>
      </c>
      <c r="D119" t="str">
        <f>"0527168071"</f>
        <v>0527168071</v>
      </c>
      <c r="H119" s="3">
        <v>1</v>
      </c>
      <c r="I119" s="3" t="s">
        <v>27</v>
      </c>
      <c r="J119" s="3">
        <v>2</v>
      </c>
      <c r="K119" s="3" t="s">
        <v>27</v>
      </c>
      <c r="L119" s="3" t="s">
        <v>27</v>
      </c>
      <c r="M119" s="3" t="s">
        <v>27</v>
      </c>
      <c r="N119" s="3">
        <v>1</v>
      </c>
      <c r="O119" s="3" t="s">
        <v>27</v>
      </c>
      <c r="P119" s="3">
        <v>2</v>
      </c>
      <c r="Q119" s="3" t="s">
        <v>27</v>
      </c>
      <c r="R119" s="3">
        <v>1</v>
      </c>
      <c r="S119" s="3">
        <v>1</v>
      </c>
      <c r="T119" s="3">
        <v>2</v>
      </c>
      <c r="U119" s="3">
        <v>1</v>
      </c>
      <c r="V119" s="3" t="s">
        <v>27</v>
      </c>
      <c r="W119" s="3" t="s">
        <v>27</v>
      </c>
      <c r="X119" s="3">
        <v>2</v>
      </c>
      <c r="Y119" s="3" t="s">
        <v>27</v>
      </c>
    </row>
    <row r="120" spans="1:25" x14ac:dyDescent="0.2">
      <c r="A120" s="2">
        <v>45916.452476851853</v>
      </c>
      <c r="B120" t="s">
        <v>216</v>
      </c>
      <c r="C120" t="s">
        <v>217</v>
      </c>
      <c r="D120" t="str">
        <f>"0548490173"</f>
        <v>0548490173</v>
      </c>
      <c r="H120" s="3">
        <v>1</v>
      </c>
      <c r="I120" s="3" t="s">
        <v>27</v>
      </c>
      <c r="J120" s="3" t="s">
        <v>27</v>
      </c>
      <c r="K120" s="3" t="s">
        <v>27</v>
      </c>
      <c r="L120" s="3" t="s">
        <v>27</v>
      </c>
      <c r="M120" s="3" t="s">
        <v>27</v>
      </c>
      <c r="N120" s="3">
        <v>1</v>
      </c>
      <c r="O120" s="3" t="s">
        <v>27</v>
      </c>
      <c r="P120" s="3" t="s">
        <v>27</v>
      </c>
      <c r="Q120" s="3" t="s">
        <v>27</v>
      </c>
      <c r="R120" s="3" t="s">
        <v>27</v>
      </c>
      <c r="S120" s="3">
        <v>1</v>
      </c>
      <c r="T120" s="3" t="s">
        <v>27</v>
      </c>
      <c r="U120" s="3" t="s">
        <v>27</v>
      </c>
      <c r="V120" s="3">
        <v>1</v>
      </c>
      <c r="W120" s="3">
        <v>1</v>
      </c>
      <c r="X120" s="3" t="s">
        <v>27</v>
      </c>
      <c r="Y120" s="3">
        <v>1</v>
      </c>
    </row>
    <row r="121" spans="1:25" x14ac:dyDescent="0.2">
      <c r="A121" s="2">
        <v>45917.585277777776</v>
      </c>
      <c r="B121" t="s">
        <v>218</v>
      </c>
      <c r="C121" t="s">
        <v>31</v>
      </c>
      <c r="D121" t="str">
        <f>"0556775738"</f>
        <v>0556775738</v>
      </c>
      <c r="H121" s="3">
        <v>2</v>
      </c>
      <c r="I121" s="3" t="s">
        <v>27</v>
      </c>
      <c r="J121" s="3" t="s">
        <v>27</v>
      </c>
      <c r="K121" s="3" t="s">
        <v>27</v>
      </c>
      <c r="L121" s="3" t="s">
        <v>27</v>
      </c>
      <c r="M121" s="3" t="s">
        <v>27</v>
      </c>
      <c r="N121" s="3">
        <v>2</v>
      </c>
      <c r="O121" s="3" t="s">
        <v>27</v>
      </c>
      <c r="P121" s="3">
        <v>2</v>
      </c>
      <c r="Q121" s="3" t="s">
        <v>27</v>
      </c>
      <c r="R121" s="3">
        <v>2</v>
      </c>
      <c r="S121" s="3">
        <v>2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  <c r="Y121" s="3" t="s">
        <v>27</v>
      </c>
    </row>
    <row r="122" spans="1:25" x14ac:dyDescent="0.2">
      <c r="A122" s="2">
        <v>45917.765567129631</v>
      </c>
      <c r="B122" t="s">
        <v>219</v>
      </c>
      <c r="C122" t="s">
        <v>220</v>
      </c>
      <c r="D122" t="str">
        <f>"0548441313"</f>
        <v>0548441313</v>
      </c>
      <c r="E122" t="str">
        <f>"0504148351"</f>
        <v>0504148351</v>
      </c>
      <c r="F122" t="s">
        <v>221</v>
      </c>
      <c r="H122" s="3">
        <v>1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>
        <v>1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>
        <v>1</v>
      </c>
      <c r="U122" s="3" t="s">
        <v>27</v>
      </c>
      <c r="V122" s="3" t="s">
        <v>27</v>
      </c>
      <c r="W122" s="3" t="s">
        <v>27</v>
      </c>
      <c r="X122" s="3" t="s">
        <v>27</v>
      </c>
      <c r="Y122" s="3" t="s">
        <v>27</v>
      </c>
    </row>
    <row r="123" spans="1:25" x14ac:dyDescent="0.2">
      <c r="A123" s="2">
        <v>45914.561574074076</v>
      </c>
      <c r="B123" t="s">
        <v>222</v>
      </c>
      <c r="C123" t="s">
        <v>60</v>
      </c>
      <c r="D123" t="str">
        <f>"0548404730"</f>
        <v>0548404730</v>
      </c>
      <c r="H123" s="3">
        <v>1</v>
      </c>
      <c r="I123" s="3">
        <v>1</v>
      </c>
      <c r="J123" s="3" t="s">
        <v>27</v>
      </c>
      <c r="K123" s="3">
        <v>1</v>
      </c>
      <c r="L123" s="3" t="s">
        <v>27</v>
      </c>
      <c r="M123" s="3" t="s">
        <v>27</v>
      </c>
      <c r="N123" s="3">
        <v>3</v>
      </c>
      <c r="O123" s="3" t="s">
        <v>27</v>
      </c>
      <c r="P123" s="3" t="s">
        <v>27</v>
      </c>
      <c r="Q123" s="3" t="s">
        <v>27</v>
      </c>
      <c r="R123" s="3">
        <v>1</v>
      </c>
      <c r="S123" s="3">
        <v>2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  <c r="Y123" s="3" t="s">
        <v>27</v>
      </c>
    </row>
    <row r="124" spans="1:25" x14ac:dyDescent="0.2">
      <c r="A124" s="2">
        <v>45914.933506944442</v>
      </c>
      <c r="B124" t="s">
        <v>222</v>
      </c>
      <c r="C124" t="s">
        <v>45</v>
      </c>
      <c r="D124" t="str">
        <f>"0556738805"</f>
        <v>0556738805</v>
      </c>
      <c r="H124" s="3" t="s">
        <v>27</v>
      </c>
      <c r="I124" s="3" t="s">
        <v>27</v>
      </c>
      <c r="J124" s="3" t="s">
        <v>27</v>
      </c>
      <c r="K124" s="3" t="s">
        <v>27</v>
      </c>
      <c r="L124" s="3" t="s">
        <v>27</v>
      </c>
      <c r="M124" s="3" t="s">
        <v>27</v>
      </c>
      <c r="N124" s="3">
        <v>1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>
        <v>1</v>
      </c>
      <c r="W124" s="3" t="s">
        <v>27</v>
      </c>
      <c r="X124" s="3" t="s">
        <v>27</v>
      </c>
      <c r="Y124" s="3" t="s">
        <v>27</v>
      </c>
    </row>
    <row r="125" spans="1:25" x14ac:dyDescent="0.2">
      <c r="A125" s="2">
        <v>45914.956018518518</v>
      </c>
      <c r="B125" t="s">
        <v>222</v>
      </c>
      <c r="C125" t="s">
        <v>161</v>
      </c>
      <c r="D125" t="str">
        <f>"0504106499"</f>
        <v>0504106499</v>
      </c>
      <c r="E125" t="str">
        <f>"0504110114"</f>
        <v>0504110114</v>
      </c>
      <c r="H125" s="3" t="s">
        <v>27</v>
      </c>
      <c r="I125" s="3">
        <v>1</v>
      </c>
      <c r="J125" s="3">
        <v>1</v>
      </c>
      <c r="K125" s="3" t="s">
        <v>27</v>
      </c>
      <c r="L125" s="3" t="s">
        <v>27</v>
      </c>
      <c r="M125" s="3" t="s">
        <v>27</v>
      </c>
      <c r="N125" s="3" t="s">
        <v>27</v>
      </c>
      <c r="O125" s="3">
        <v>1</v>
      </c>
      <c r="P125" s="3" t="s">
        <v>27</v>
      </c>
      <c r="Q125" s="3" t="s">
        <v>27</v>
      </c>
      <c r="R125" s="3">
        <v>1</v>
      </c>
      <c r="S125" s="3" t="s">
        <v>27</v>
      </c>
      <c r="T125" s="3">
        <v>1</v>
      </c>
      <c r="U125" s="3">
        <v>1</v>
      </c>
      <c r="V125" s="3" t="s">
        <v>27</v>
      </c>
      <c r="W125" s="3" t="s">
        <v>27</v>
      </c>
      <c r="X125" s="3" t="s">
        <v>27</v>
      </c>
      <c r="Y125" s="3" t="s">
        <v>27</v>
      </c>
    </row>
    <row r="126" spans="1:25" x14ac:dyDescent="0.2">
      <c r="A126" s="2">
        <v>45917.575636574074</v>
      </c>
      <c r="B126" t="s">
        <v>223</v>
      </c>
      <c r="C126" t="s">
        <v>36</v>
      </c>
      <c r="D126" t="str">
        <f>"0527683128"</f>
        <v>0527683128</v>
      </c>
      <c r="H126" s="3" t="s">
        <v>27</v>
      </c>
      <c r="I126" s="3">
        <v>4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>
        <v>4</v>
      </c>
      <c r="P126" s="3" t="s">
        <v>27</v>
      </c>
      <c r="Q126" s="3" t="s">
        <v>27</v>
      </c>
      <c r="R126" s="3" t="s">
        <v>27</v>
      </c>
      <c r="S126" s="3">
        <v>2</v>
      </c>
      <c r="T126" s="3">
        <v>2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27</v>
      </c>
    </row>
    <row r="127" spans="1:25" x14ac:dyDescent="0.2">
      <c r="A127" s="2">
        <v>45908.983090277776</v>
      </c>
      <c r="B127" t="s">
        <v>224</v>
      </c>
      <c r="C127" t="s">
        <v>225</v>
      </c>
      <c r="D127" t="str">
        <f>"0548484112"</f>
        <v>0548484112</v>
      </c>
      <c r="E127" t="str">
        <f>"0527683830"</f>
        <v>0527683830</v>
      </c>
      <c r="F127" t="s">
        <v>226</v>
      </c>
      <c r="G127" t="s">
        <v>227</v>
      </c>
      <c r="H127" s="3">
        <v>1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>
        <v>1</v>
      </c>
      <c r="O127" s="3" t="s">
        <v>27</v>
      </c>
      <c r="P127" s="3" t="s">
        <v>27</v>
      </c>
      <c r="Q127" s="3" t="s">
        <v>27</v>
      </c>
      <c r="R127" s="3" t="s">
        <v>27</v>
      </c>
      <c r="S127" s="3">
        <v>1</v>
      </c>
      <c r="T127" s="3" t="s">
        <v>27</v>
      </c>
      <c r="U127" s="3" t="s">
        <v>27</v>
      </c>
      <c r="V127" s="3" t="s">
        <v>27</v>
      </c>
      <c r="W127" s="3" t="s">
        <v>27</v>
      </c>
      <c r="X127" s="3">
        <v>1</v>
      </c>
      <c r="Y127" s="3" t="s">
        <v>27</v>
      </c>
    </row>
    <row r="128" spans="1:25" x14ac:dyDescent="0.2">
      <c r="A128" s="2">
        <v>45916.016793981478</v>
      </c>
      <c r="B128" t="s">
        <v>228</v>
      </c>
      <c r="C128" t="s">
        <v>220</v>
      </c>
      <c r="D128" t="str">
        <f>"0548481142"</f>
        <v>0548481142</v>
      </c>
      <c r="G128" t="s">
        <v>229</v>
      </c>
      <c r="H128" s="3">
        <v>1</v>
      </c>
      <c r="I128" s="3" t="s">
        <v>27</v>
      </c>
      <c r="J128" s="3" t="s">
        <v>27</v>
      </c>
      <c r="K128" s="3">
        <v>1</v>
      </c>
      <c r="L128" s="3" t="s">
        <v>27</v>
      </c>
      <c r="M128" s="3" t="s">
        <v>27</v>
      </c>
      <c r="N128" s="3">
        <v>1</v>
      </c>
      <c r="O128" s="3" t="s">
        <v>27</v>
      </c>
      <c r="P128" s="3" t="s">
        <v>27</v>
      </c>
      <c r="Q128" s="3" t="s">
        <v>27</v>
      </c>
      <c r="R128" s="3">
        <v>1</v>
      </c>
      <c r="S128" s="3">
        <v>1</v>
      </c>
      <c r="T128" s="3" t="s">
        <v>27</v>
      </c>
      <c r="U128" s="3">
        <v>1</v>
      </c>
      <c r="V128" s="3" t="s">
        <v>27</v>
      </c>
      <c r="W128" s="3" t="s">
        <v>27</v>
      </c>
      <c r="X128" s="3" t="s">
        <v>27</v>
      </c>
      <c r="Y128" s="3" t="s">
        <v>27</v>
      </c>
    </row>
    <row r="129" spans="1:25" x14ac:dyDescent="0.2">
      <c r="A129" s="2">
        <v>45916.051226851851</v>
      </c>
      <c r="B129" t="s">
        <v>230</v>
      </c>
      <c r="C129" t="s">
        <v>119</v>
      </c>
      <c r="D129" t="str">
        <f>"0504113588"</f>
        <v>0504113588</v>
      </c>
      <c r="F129" t="s">
        <v>231</v>
      </c>
      <c r="H129" s="3">
        <v>1</v>
      </c>
      <c r="I129" s="3">
        <v>2</v>
      </c>
      <c r="J129" s="3" t="s">
        <v>27</v>
      </c>
      <c r="K129" s="3" t="s">
        <v>27</v>
      </c>
      <c r="L129" s="3" t="s">
        <v>27</v>
      </c>
      <c r="M129" s="3" t="s">
        <v>27</v>
      </c>
      <c r="N129" s="3">
        <v>1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  <c r="Y129" s="3" t="s">
        <v>27</v>
      </c>
    </row>
    <row r="130" spans="1:25" x14ac:dyDescent="0.2">
      <c r="A130" s="2">
        <v>45917.770671296297</v>
      </c>
      <c r="B130" t="s">
        <v>232</v>
      </c>
      <c r="C130" t="s">
        <v>220</v>
      </c>
      <c r="D130" t="str">
        <f>"0534158567"</f>
        <v>0534158567</v>
      </c>
      <c r="E130" t="str">
        <f>"0527101901"</f>
        <v>0527101901</v>
      </c>
      <c r="H130" s="3" t="s">
        <v>27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>
        <v>1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  <c r="Y130" s="3" t="s">
        <v>27</v>
      </c>
    </row>
    <row r="131" spans="1:25" x14ac:dyDescent="0.2">
      <c r="A131" s="2">
        <v>45917.558148148149</v>
      </c>
      <c r="B131" t="s">
        <v>233</v>
      </c>
      <c r="C131" t="s">
        <v>234</v>
      </c>
      <c r="D131" t="str">
        <f>"0533122717"</f>
        <v>0533122717</v>
      </c>
      <c r="H131" s="3" t="s">
        <v>27</v>
      </c>
      <c r="I131" s="3" t="s">
        <v>27</v>
      </c>
      <c r="J131" s="3" t="s">
        <v>27</v>
      </c>
      <c r="K131" s="3" t="s">
        <v>27</v>
      </c>
      <c r="L131" s="3">
        <v>1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  <c r="Y131" s="3" t="s">
        <v>27</v>
      </c>
    </row>
    <row r="132" spans="1:25" x14ac:dyDescent="0.2">
      <c r="A132" s="2">
        <v>45914.745451388888</v>
      </c>
      <c r="B132" t="s">
        <v>235</v>
      </c>
      <c r="C132" t="s">
        <v>99</v>
      </c>
      <c r="D132" t="str">
        <f>"0533126925"</f>
        <v>0533126925</v>
      </c>
      <c r="E132" t="str">
        <f>"089926925"</f>
        <v>089926925</v>
      </c>
      <c r="G132" t="s">
        <v>236</v>
      </c>
      <c r="H132" s="3" t="s">
        <v>27</v>
      </c>
      <c r="I132" s="3">
        <v>3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>
        <v>3</v>
      </c>
      <c r="P132" s="3" t="s">
        <v>27</v>
      </c>
      <c r="Q132" s="3" t="s">
        <v>27</v>
      </c>
      <c r="R132" s="3" t="s">
        <v>27</v>
      </c>
      <c r="S132" s="3">
        <v>3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  <c r="Y132" s="3" t="s">
        <v>27</v>
      </c>
    </row>
    <row r="133" spans="1:25" x14ac:dyDescent="0.2">
      <c r="A133" s="2">
        <v>45916.9684837963</v>
      </c>
      <c r="B133" t="s">
        <v>237</v>
      </c>
      <c r="C133" t="s">
        <v>238</v>
      </c>
      <c r="D133" t="str">
        <f>"0504112873"</f>
        <v>0504112873</v>
      </c>
      <c r="H133" s="3" t="s">
        <v>27</v>
      </c>
      <c r="I133" s="3">
        <v>4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>
        <v>4</v>
      </c>
      <c r="P133" s="3" t="s">
        <v>27</v>
      </c>
      <c r="Q133" s="3" t="s">
        <v>27</v>
      </c>
      <c r="R133" s="3" t="s">
        <v>27</v>
      </c>
      <c r="S133" s="3">
        <v>4</v>
      </c>
      <c r="T133" s="3" t="s">
        <v>27</v>
      </c>
      <c r="U133" s="3" t="s">
        <v>27</v>
      </c>
      <c r="V133" s="3" t="s">
        <v>27</v>
      </c>
      <c r="W133" s="3" t="s">
        <v>27</v>
      </c>
      <c r="X133" s="3" t="s">
        <v>27</v>
      </c>
      <c r="Y133" s="3" t="s">
        <v>27</v>
      </c>
    </row>
    <row r="134" spans="1:25" x14ac:dyDescent="0.2">
      <c r="A134" s="2">
        <v>45916.985451388886</v>
      </c>
      <c r="B134" t="s">
        <v>239</v>
      </c>
      <c r="C134" t="s">
        <v>220</v>
      </c>
      <c r="D134" t="str">
        <f>"0527159070"</f>
        <v>0527159070</v>
      </c>
      <c r="H134" s="3">
        <v>2</v>
      </c>
      <c r="I134" s="3" t="s">
        <v>27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  <c r="Y134" s="3" t="s">
        <v>27</v>
      </c>
    </row>
    <row r="135" spans="1:25" x14ac:dyDescent="0.2">
      <c r="A135" s="2">
        <v>45915.342557870368</v>
      </c>
      <c r="B135" t="s">
        <v>240</v>
      </c>
      <c r="C135" t="s">
        <v>241</v>
      </c>
      <c r="D135" t="str">
        <f>"0556708231"</f>
        <v>0556708231</v>
      </c>
      <c r="E135" t="str">
        <f>"089744693"</f>
        <v>089744693</v>
      </c>
      <c r="H135" s="3" t="s">
        <v>27</v>
      </c>
      <c r="I135" s="3" t="s">
        <v>27</v>
      </c>
      <c r="J135" s="3" t="s">
        <v>27</v>
      </c>
      <c r="K135" s="3">
        <v>2</v>
      </c>
      <c r="L135" s="3" t="s">
        <v>27</v>
      </c>
      <c r="M135" s="3" t="s">
        <v>27</v>
      </c>
      <c r="N135" s="3" t="s">
        <v>27</v>
      </c>
      <c r="O135" s="3">
        <v>3</v>
      </c>
      <c r="P135" s="3" t="s">
        <v>27</v>
      </c>
      <c r="Q135" s="3" t="s">
        <v>27</v>
      </c>
      <c r="R135" s="3">
        <v>2</v>
      </c>
      <c r="S135" s="3" t="s">
        <v>27</v>
      </c>
      <c r="T135" s="3">
        <v>3</v>
      </c>
      <c r="U135" s="3">
        <v>2</v>
      </c>
      <c r="V135" s="3" t="s">
        <v>27</v>
      </c>
      <c r="W135" s="3" t="s">
        <v>27</v>
      </c>
      <c r="X135" s="3">
        <v>5</v>
      </c>
      <c r="Y135" s="3" t="s">
        <v>27</v>
      </c>
    </row>
    <row r="136" spans="1:25" x14ac:dyDescent="0.2">
      <c r="A136" s="2">
        <v>45915.967881944445</v>
      </c>
      <c r="B136" t="s">
        <v>242</v>
      </c>
      <c r="C136" t="s">
        <v>176</v>
      </c>
      <c r="D136" t="str">
        <f>"0533106592"</f>
        <v>0533106592</v>
      </c>
      <c r="H136" s="3">
        <v>1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>
        <v>1</v>
      </c>
      <c r="O136" s="3" t="s">
        <v>27</v>
      </c>
      <c r="P136" s="3">
        <v>1</v>
      </c>
      <c r="Q136" s="3" t="s">
        <v>27</v>
      </c>
      <c r="R136" s="3" t="s">
        <v>27</v>
      </c>
      <c r="S136" s="3">
        <v>2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  <c r="Y136" s="3" t="s">
        <v>27</v>
      </c>
    </row>
    <row r="137" spans="1:25" x14ac:dyDescent="0.2">
      <c r="A137" s="2">
        <v>45916.977141203701</v>
      </c>
      <c r="B137" t="s">
        <v>243</v>
      </c>
      <c r="C137" t="s">
        <v>112</v>
      </c>
      <c r="D137" t="str">
        <f>"0556765283"</f>
        <v>0556765283</v>
      </c>
      <c r="E137" t="str">
        <f>"0556773575"</f>
        <v>0556773575</v>
      </c>
      <c r="F137" t="s">
        <v>244</v>
      </c>
      <c r="H137" s="3" t="s">
        <v>27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>
        <v>1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  <c r="Y137" s="3" t="s">
        <v>27</v>
      </c>
    </row>
    <row r="138" spans="1:25" x14ac:dyDescent="0.2">
      <c r="A138" s="2">
        <v>45917.349606481483</v>
      </c>
      <c r="B138" t="s">
        <v>245</v>
      </c>
      <c r="C138" t="s">
        <v>99</v>
      </c>
      <c r="D138" t="str">
        <f>"0527162047"</f>
        <v>0527162047</v>
      </c>
      <c r="E138" t="str">
        <f>"0556783879"</f>
        <v>0556783879</v>
      </c>
      <c r="H138" s="3">
        <v>1</v>
      </c>
      <c r="I138" s="3" t="s">
        <v>27</v>
      </c>
      <c r="J138" s="3">
        <v>1</v>
      </c>
      <c r="K138" s="3" t="s">
        <v>27</v>
      </c>
      <c r="L138" s="3" t="s">
        <v>27</v>
      </c>
      <c r="M138" s="3" t="s">
        <v>27</v>
      </c>
      <c r="N138" s="3">
        <v>2</v>
      </c>
      <c r="O138" s="3" t="s">
        <v>27</v>
      </c>
      <c r="P138" s="3" t="s">
        <v>27</v>
      </c>
      <c r="Q138" s="3" t="s">
        <v>27</v>
      </c>
      <c r="R138" s="3" t="s">
        <v>27</v>
      </c>
      <c r="S138" s="3">
        <v>1</v>
      </c>
      <c r="T138" s="3" t="s">
        <v>27</v>
      </c>
      <c r="U138" s="3" t="s">
        <v>27</v>
      </c>
      <c r="V138" s="3" t="s">
        <v>27</v>
      </c>
      <c r="W138" s="3" t="s">
        <v>27</v>
      </c>
      <c r="X138" s="3">
        <v>2</v>
      </c>
      <c r="Y138" s="3" t="s">
        <v>27</v>
      </c>
    </row>
    <row r="139" spans="1:25" x14ac:dyDescent="0.2">
      <c r="A139" s="2">
        <v>45916.91847222222</v>
      </c>
      <c r="B139" t="s">
        <v>246</v>
      </c>
      <c r="C139" t="s">
        <v>36</v>
      </c>
      <c r="D139" t="str">
        <f>"0527686908"</f>
        <v>0527686908</v>
      </c>
      <c r="H139" s="3" t="s">
        <v>27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>
        <v>1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  <c r="Y139" s="3" t="s">
        <v>27</v>
      </c>
    </row>
    <row r="140" spans="1:25" x14ac:dyDescent="0.2">
      <c r="A140" s="2">
        <v>45910.849814814814</v>
      </c>
      <c r="B140" t="s">
        <v>247</v>
      </c>
      <c r="C140" t="s">
        <v>248</v>
      </c>
      <c r="D140" t="str">
        <f>"0548544580"</f>
        <v>0548544580</v>
      </c>
      <c r="E140" t="str">
        <f>"0533168907"</f>
        <v>0533168907</v>
      </c>
      <c r="H140" s="3" t="s">
        <v>27</v>
      </c>
      <c r="I140" s="3" t="s">
        <v>27</v>
      </c>
      <c r="J140" s="3" t="s">
        <v>27</v>
      </c>
      <c r="K140" s="3" t="s">
        <v>27</v>
      </c>
      <c r="L140" s="3">
        <v>2</v>
      </c>
      <c r="M140" s="3" t="s">
        <v>27</v>
      </c>
      <c r="N140" s="3">
        <v>2</v>
      </c>
      <c r="O140" s="3" t="s">
        <v>27</v>
      </c>
      <c r="P140" s="3" t="s">
        <v>27</v>
      </c>
      <c r="Q140" s="3" t="s">
        <v>27</v>
      </c>
      <c r="R140" s="3" t="s">
        <v>27</v>
      </c>
      <c r="S140" s="3">
        <v>2</v>
      </c>
      <c r="T140" s="3" t="s">
        <v>27</v>
      </c>
      <c r="U140" s="3" t="s">
        <v>27</v>
      </c>
      <c r="V140" s="3" t="s">
        <v>27</v>
      </c>
      <c r="W140" s="3">
        <v>1</v>
      </c>
      <c r="X140" s="3" t="s">
        <v>27</v>
      </c>
      <c r="Y140" s="3">
        <v>1</v>
      </c>
    </row>
    <row r="141" spans="1:25" x14ac:dyDescent="0.2">
      <c r="A141" s="2">
        <v>45914.428136574075</v>
      </c>
      <c r="B141" t="s">
        <v>249</v>
      </c>
      <c r="C141" t="s">
        <v>250</v>
      </c>
      <c r="D141" t="str">
        <f>"0533155878"</f>
        <v>0533155878</v>
      </c>
      <c r="E141" t="str">
        <f>"0583294324"</f>
        <v>0583294324</v>
      </c>
      <c r="H141" s="3">
        <v>1</v>
      </c>
      <c r="I141" s="3" t="s">
        <v>27</v>
      </c>
      <c r="J141" s="3" t="s">
        <v>27</v>
      </c>
      <c r="K141" s="3" t="s">
        <v>27</v>
      </c>
      <c r="L141" s="3" t="s">
        <v>27</v>
      </c>
      <c r="M141" s="3" t="s">
        <v>27</v>
      </c>
      <c r="N141" s="3">
        <v>1</v>
      </c>
      <c r="O141" s="3" t="s">
        <v>27</v>
      </c>
      <c r="P141" s="3" t="s">
        <v>27</v>
      </c>
      <c r="Q141" s="3" t="s">
        <v>27</v>
      </c>
      <c r="R141" s="3" t="s">
        <v>27</v>
      </c>
      <c r="S141" s="3">
        <v>1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  <c r="Y141" s="3" t="s">
        <v>27</v>
      </c>
    </row>
    <row r="142" spans="1:25" x14ac:dyDescent="0.2">
      <c r="A142" s="2">
        <v>45917.968275462961</v>
      </c>
      <c r="B142" t="s">
        <v>251</v>
      </c>
      <c r="C142" t="s">
        <v>252</v>
      </c>
      <c r="D142" t="str">
        <f>"0527171482"</f>
        <v>0527171482</v>
      </c>
      <c r="E142" t="str">
        <f>"0527630965"</f>
        <v>0527630965</v>
      </c>
      <c r="H142" s="3" t="s">
        <v>27</v>
      </c>
      <c r="I142" s="3" t="s">
        <v>27</v>
      </c>
      <c r="J142" s="3" t="s">
        <v>27</v>
      </c>
      <c r="K142" s="3" t="s">
        <v>27</v>
      </c>
      <c r="L142" s="3">
        <v>1</v>
      </c>
      <c r="M142" s="3" t="s">
        <v>27</v>
      </c>
      <c r="N142" s="3">
        <v>1</v>
      </c>
      <c r="O142" s="3" t="s">
        <v>27</v>
      </c>
      <c r="P142" s="3" t="s">
        <v>27</v>
      </c>
      <c r="Q142" s="3" t="s">
        <v>27</v>
      </c>
      <c r="R142" s="3" t="s">
        <v>27</v>
      </c>
      <c r="S142" s="3">
        <v>1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  <c r="Y142" s="3" t="s">
        <v>27</v>
      </c>
    </row>
    <row r="143" spans="1:25" x14ac:dyDescent="0.2">
      <c r="A143" s="2">
        <v>45914.761006944442</v>
      </c>
      <c r="B143" t="s">
        <v>253</v>
      </c>
      <c r="C143" t="s">
        <v>60</v>
      </c>
      <c r="D143" t="str">
        <f>"0527657670"</f>
        <v>0527657670</v>
      </c>
      <c r="E143" t="str">
        <f>"0527657680"</f>
        <v>0527657680</v>
      </c>
      <c r="F143" t="s">
        <v>254</v>
      </c>
      <c r="H143" s="3">
        <v>1</v>
      </c>
      <c r="I143" s="3" t="s">
        <v>27</v>
      </c>
      <c r="J143" s="3">
        <v>2</v>
      </c>
      <c r="K143" s="3">
        <v>1</v>
      </c>
      <c r="L143" s="3" t="s">
        <v>27</v>
      </c>
      <c r="M143" s="3" t="s">
        <v>27</v>
      </c>
      <c r="N143" s="3">
        <v>1</v>
      </c>
      <c r="O143" s="3" t="s">
        <v>27</v>
      </c>
      <c r="P143" s="3">
        <v>2</v>
      </c>
      <c r="Q143" s="3" t="s">
        <v>27</v>
      </c>
      <c r="R143" s="3">
        <v>1</v>
      </c>
      <c r="S143" s="3">
        <v>1</v>
      </c>
      <c r="T143" s="3">
        <v>2</v>
      </c>
      <c r="U143" s="3">
        <v>1</v>
      </c>
      <c r="V143" s="3" t="s">
        <v>27</v>
      </c>
      <c r="W143" s="3" t="s">
        <v>27</v>
      </c>
      <c r="X143" s="3" t="s">
        <v>27</v>
      </c>
      <c r="Y143" s="3" t="s">
        <v>27</v>
      </c>
    </row>
    <row r="144" spans="1:25" x14ac:dyDescent="0.2">
      <c r="A144" s="2">
        <v>45915.411956018521</v>
      </c>
      <c r="B144" t="s">
        <v>253</v>
      </c>
      <c r="C144" t="s">
        <v>99</v>
      </c>
      <c r="D144" t="str">
        <f>"0548595448"</f>
        <v>0548595448</v>
      </c>
      <c r="E144" t="str">
        <f>"0533157464"</f>
        <v>0533157464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27</v>
      </c>
      <c r="M144" s="3" t="s">
        <v>27</v>
      </c>
      <c r="N144" s="3">
        <v>1</v>
      </c>
      <c r="O144" s="3" t="s">
        <v>27</v>
      </c>
      <c r="P144" s="3" t="s">
        <v>27</v>
      </c>
      <c r="Q144" s="3" t="s">
        <v>27</v>
      </c>
      <c r="R144" s="3" t="s">
        <v>27</v>
      </c>
      <c r="S144" s="3">
        <v>2</v>
      </c>
      <c r="T144" s="3" t="s">
        <v>27</v>
      </c>
      <c r="U144" s="3" t="s">
        <v>27</v>
      </c>
      <c r="V144" s="3" t="s">
        <v>27</v>
      </c>
      <c r="W144" s="3">
        <v>1</v>
      </c>
      <c r="X144" s="3" t="s">
        <v>27</v>
      </c>
      <c r="Y144" s="3">
        <v>2</v>
      </c>
    </row>
    <row r="145" spans="1:25" x14ac:dyDescent="0.2">
      <c r="A145" s="2">
        <v>45914.970995370371</v>
      </c>
      <c r="B145" t="s">
        <v>253</v>
      </c>
      <c r="C145" t="s">
        <v>66</v>
      </c>
      <c r="D145" t="str">
        <f>"0534190128"</f>
        <v>0534190128</v>
      </c>
      <c r="H145" s="3">
        <v>1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>
        <v>1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  <c r="Y145" s="3" t="s">
        <v>27</v>
      </c>
    </row>
    <row r="146" spans="1:25" x14ac:dyDescent="0.2">
      <c r="A146" s="2">
        <v>45914.381666666668</v>
      </c>
      <c r="B146" t="s">
        <v>255</v>
      </c>
      <c r="C146" t="s">
        <v>112</v>
      </c>
      <c r="D146" t="str">
        <f>"0527683055"</f>
        <v>0527683055</v>
      </c>
      <c r="H146" s="3">
        <v>5</v>
      </c>
      <c r="I146" s="3" t="s">
        <v>27</v>
      </c>
      <c r="J146" s="3">
        <v>1</v>
      </c>
      <c r="K146" s="3">
        <v>2</v>
      </c>
      <c r="L146" s="3" t="s">
        <v>27</v>
      </c>
      <c r="M146" s="3" t="s">
        <v>27</v>
      </c>
      <c r="N146" s="3">
        <v>3</v>
      </c>
      <c r="O146" s="3" t="s">
        <v>27</v>
      </c>
      <c r="P146" s="3">
        <v>1</v>
      </c>
      <c r="Q146" s="3" t="s">
        <v>27</v>
      </c>
      <c r="R146" s="3">
        <v>2</v>
      </c>
      <c r="S146" s="3">
        <v>3</v>
      </c>
      <c r="T146" s="3">
        <v>1</v>
      </c>
      <c r="U146" s="3">
        <v>2</v>
      </c>
      <c r="V146" s="3" t="s">
        <v>27</v>
      </c>
      <c r="W146" s="3" t="s">
        <v>27</v>
      </c>
      <c r="X146" s="3" t="s">
        <v>27</v>
      </c>
      <c r="Y146" s="3" t="s">
        <v>27</v>
      </c>
    </row>
    <row r="147" spans="1:25" x14ac:dyDescent="0.2">
      <c r="A147" s="2">
        <v>45915.962268518517</v>
      </c>
      <c r="B147" t="s">
        <v>256</v>
      </c>
      <c r="C147" t="s">
        <v>257</v>
      </c>
      <c r="D147" t="str">
        <f>"0583261358"</f>
        <v>0583261358</v>
      </c>
      <c r="E147" t="str">
        <f>"0583226245"</f>
        <v>0583226245</v>
      </c>
      <c r="H147" s="3" t="s">
        <v>27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>
        <v>1</v>
      </c>
      <c r="O147" s="3" t="s">
        <v>27</v>
      </c>
      <c r="P147" s="3" t="s">
        <v>27</v>
      </c>
      <c r="Q147" s="3" t="s">
        <v>27</v>
      </c>
      <c r="R147" s="3" t="s">
        <v>27</v>
      </c>
      <c r="S147" s="3">
        <v>1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  <c r="Y147" s="3" t="s">
        <v>27</v>
      </c>
    </row>
    <row r="148" spans="1:25" x14ac:dyDescent="0.2">
      <c r="A148" s="2">
        <v>45914.90797453704</v>
      </c>
      <c r="B148" t="s">
        <v>258</v>
      </c>
      <c r="C148" t="s">
        <v>259</v>
      </c>
      <c r="D148" t="str">
        <f>"0504145816"</f>
        <v>0504145816</v>
      </c>
      <c r="H148" s="3" t="s">
        <v>27</v>
      </c>
      <c r="I148" s="3" t="s">
        <v>27</v>
      </c>
      <c r="J148" s="3" t="s">
        <v>27</v>
      </c>
      <c r="K148" s="3">
        <v>1</v>
      </c>
      <c r="L148" s="3" t="s">
        <v>27</v>
      </c>
      <c r="M148" s="3" t="s">
        <v>27</v>
      </c>
      <c r="N148" s="3">
        <v>1</v>
      </c>
      <c r="O148" s="3">
        <v>1</v>
      </c>
      <c r="P148" s="3">
        <v>1</v>
      </c>
      <c r="Q148" s="3" t="s">
        <v>27</v>
      </c>
      <c r="R148" s="3">
        <v>1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  <c r="Y148" s="3" t="s">
        <v>27</v>
      </c>
    </row>
    <row r="149" spans="1:25" x14ac:dyDescent="0.2">
      <c r="A149" s="2">
        <v>45908.564687500002</v>
      </c>
      <c r="B149" t="s">
        <v>260</v>
      </c>
      <c r="C149" t="s">
        <v>119</v>
      </c>
      <c r="D149" t="str">
        <f>"0504170538"</f>
        <v>0504170538</v>
      </c>
      <c r="E149" t="str">
        <f>"0504113478"</f>
        <v>0504113478</v>
      </c>
      <c r="F149" t="s">
        <v>261</v>
      </c>
      <c r="G149" t="s">
        <v>194</v>
      </c>
      <c r="H149" s="3">
        <v>1</v>
      </c>
      <c r="I149" s="3" t="s">
        <v>27</v>
      </c>
      <c r="J149" s="3" t="s">
        <v>27</v>
      </c>
      <c r="K149" s="3">
        <v>2</v>
      </c>
      <c r="L149" s="3" t="s">
        <v>27</v>
      </c>
      <c r="M149" s="3" t="s">
        <v>27</v>
      </c>
      <c r="N149" s="3">
        <v>1</v>
      </c>
      <c r="O149" s="3" t="s">
        <v>27</v>
      </c>
      <c r="P149" s="3" t="s">
        <v>27</v>
      </c>
      <c r="Q149" s="3" t="s">
        <v>27</v>
      </c>
      <c r="R149" s="3">
        <v>2</v>
      </c>
      <c r="S149" s="3">
        <v>1</v>
      </c>
      <c r="T149" s="3">
        <v>1</v>
      </c>
      <c r="U149" s="3">
        <v>4</v>
      </c>
      <c r="V149" s="3" t="s">
        <v>27</v>
      </c>
      <c r="W149" s="3" t="s">
        <v>27</v>
      </c>
      <c r="X149" s="3" t="s">
        <v>27</v>
      </c>
      <c r="Y149" s="3" t="s">
        <v>27</v>
      </c>
    </row>
    <row r="150" spans="1:25" x14ac:dyDescent="0.2">
      <c r="A150" s="2">
        <v>45915.488946759258</v>
      </c>
      <c r="B150" t="s">
        <v>262</v>
      </c>
      <c r="C150" t="s">
        <v>252</v>
      </c>
      <c r="D150" t="str">
        <f>"0504181772"</f>
        <v>0504181772</v>
      </c>
      <c r="E150" t="str">
        <f>"089742874"</f>
        <v>089742874</v>
      </c>
      <c r="F150" t="s">
        <v>263</v>
      </c>
      <c r="H150" s="3">
        <v>1</v>
      </c>
      <c r="I150" s="3">
        <v>4</v>
      </c>
      <c r="J150" s="3" t="s">
        <v>27</v>
      </c>
      <c r="K150" s="3" t="s">
        <v>27</v>
      </c>
      <c r="L150" s="3" t="s">
        <v>27</v>
      </c>
      <c r="M150" s="3">
        <v>1</v>
      </c>
      <c r="N150" s="3">
        <v>1</v>
      </c>
      <c r="O150" s="3" t="s">
        <v>27</v>
      </c>
      <c r="P150" s="3">
        <v>5</v>
      </c>
      <c r="Q150" s="3" t="s">
        <v>27</v>
      </c>
      <c r="R150" s="3" t="s">
        <v>27</v>
      </c>
      <c r="S150" s="3">
        <v>1</v>
      </c>
      <c r="T150" s="3">
        <v>5</v>
      </c>
      <c r="U150" s="3" t="s">
        <v>27</v>
      </c>
      <c r="V150" s="3" t="s">
        <v>27</v>
      </c>
      <c r="W150" s="3" t="s">
        <v>27</v>
      </c>
      <c r="X150" s="3" t="s">
        <v>27</v>
      </c>
      <c r="Y150" s="3" t="s">
        <v>27</v>
      </c>
    </row>
    <row r="151" spans="1:25" x14ac:dyDescent="0.2">
      <c r="A151" s="2">
        <v>45919.676782407405</v>
      </c>
      <c r="B151" t="s">
        <v>264</v>
      </c>
      <c r="C151" t="s">
        <v>265</v>
      </c>
      <c r="D151" t="str">
        <f>"0533143988"</f>
        <v>0533143988</v>
      </c>
      <c r="E151" t="str">
        <f>"0527108765"</f>
        <v>0527108765</v>
      </c>
      <c r="H151" s="3">
        <v>1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>
        <v>1</v>
      </c>
      <c r="O151" s="3" t="s">
        <v>27</v>
      </c>
      <c r="P151" s="3" t="s">
        <v>27</v>
      </c>
      <c r="Q151" s="3" t="s">
        <v>27</v>
      </c>
      <c r="R151" s="3" t="s">
        <v>27</v>
      </c>
      <c r="S151" s="3">
        <v>1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  <c r="Y151" s="3" t="s">
        <v>27</v>
      </c>
    </row>
    <row r="152" spans="1:25" x14ac:dyDescent="0.2">
      <c r="A152" s="2">
        <v>45917.066435185188</v>
      </c>
      <c r="B152" t="s">
        <v>266</v>
      </c>
      <c r="C152" t="s">
        <v>40</v>
      </c>
      <c r="D152" t="str">
        <f>"0527667418"</f>
        <v>0527667418</v>
      </c>
      <c r="H152" s="3">
        <v>1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>
        <v>1</v>
      </c>
      <c r="O152" s="3" t="s">
        <v>27</v>
      </c>
      <c r="P152" s="3" t="s">
        <v>27</v>
      </c>
      <c r="Q152" s="3" t="s">
        <v>27</v>
      </c>
      <c r="R152" s="3" t="s">
        <v>27</v>
      </c>
      <c r="S152" s="3">
        <v>1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  <c r="Y152" s="3" t="s">
        <v>27</v>
      </c>
    </row>
    <row r="153" spans="1:25" x14ac:dyDescent="0.2">
      <c r="A153" s="2">
        <v>45917.808668981481</v>
      </c>
      <c r="B153" t="s">
        <v>267</v>
      </c>
      <c r="C153" t="s">
        <v>268</v>
      </c>
      <c r="D153" t="str">
        <f>"0527690503"</f>
        <v>0527690503</v>
      </c>
      <c r="H153" s="3" t="s">
        <v>27</v>
      </c>
      <c r="I153" s="3">
        <v>1</v>
      </c>
      <c r="J153" s="3" t="s">
        <v>27</v>
      </c>
      <c r="K153" s="3">
        <v>1</v>
      </c>
      <c r="L153" s="3" t="s">
        <v>27</v>
      </c>
      <c r="M153" s="3" t="s">
        <v>27</v>
      </c>
      <c r="N153" s="3">
        <v>1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>
        <v>1</v>
      </c>
      <c r="V153" s="3" t="s">
        <v>27</v>
      </c>
      <c r="W153" s="3" t="s">
        <v>27</v>
      </c>
      <c r="X153" s="3" t="s">
        <v>27</v>
      </c>
      <c r="Y153" s="3" t="s">
        <v>27</v>
      </c>
    </row>
    <row r="154" spans="1:25" x14ac:dyDescent="0.2">
      <c r="A154" s="2">
        <v>45916.539004629631</v>
      </c>
      <c r="B154" t="s">
        <v>269</v>
      </c>
      <c r="C154" t="s">
        <v>82</v>
      </c>
      <c r="D154" t="str">
        <f>"0556753443"</f>
        <v>0556753443</v>
      </c>
      <c r="E154" t="str">
        <f>"0583293076"</f>
        <v>0583293076</v>
      </c>
      <c r="H154" s="3">
        <v>2</v>
      </c>
      <c r="I154" s="3">
        <v>2</v>
      </c>
      <c r="J154" s="3" t="s">
        <v>27</v>
      </c>
      <c r="K154" s="3" t="s">
        <v>27</v>
      </c>
      <c r="L154" s="3" t="s">
        <v>27</v>
      </c>
      <c r="M154" s="3" t="s">
        <v>27</v>
      </c>
      <c r="N154" s="3">
        <v>2</v>
      </c>
      <c r="O154" s="3">
        <v>2</v>
      </c>
      <c r="P154" s="3" t="s">
        <v>27</v>
      </c>
      <c r="Q154" s="3" t="s">
        <v>27</v>
      </c>
      <c r="R154" s="3" t="s">
        <v>27</v>
      </c>
      <c r="S154" s="3">
        <v>4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3" t="s">
        <v>27</v>
      </c>
    </row>
    <row r="155" spans="1:25" x14ac:dyDescent="0.2">
      <c r="A155" s="2">
        <v>45912.392280092594</v>
      </c>
      <c r="B155" t="s">
        <v>270</v>
      </c>
      <c r="C155" t="s">
        <v>36</v>
      </c>
      <c r="D155" t="str">
        <f>"0533105221"</f>
        <v>0533105221</v>
      </c>
      <c r="E155" t="str">
        <f>"0556778639"</f>
        <v>0556778639</v>
      </c>
      <c r="F155" t="s">
        <v>271</v>
      </c>
      <c r="H155" s="3" t="s">
        <v>27</v>
      </c>
      <c r="I155" s="3" t="s">
        <v>27</v>
      </c>
      <c r="J155" s="3" t="s">
        <v>27</v>
      </c>
      <c r="K155" s="3">
        <v>2</v>
      </c>
      <c r="L155" s="3">
        <v>3</v>
      </c>
      <c r="M155" s="3" t="s">
        <v>27</v>
      </c>
      <c r="N155" s="3">
        <v>3</v>
      </c>
      <c r="O155" s="3" t="s">
        <v>27</v>
      </c>
      <c r="P155" s="3" t="s">
        <v>27</v>
      </c>
      <c r="Q155" s="3" t="s">
        <v>27</v>
      </c>
      <c r="R155" s="3">
        <v>2</v>
      </c>
      <c r="S155" s="3">
        <v>3</v>
      </c>
      <c r="T155" s="3">
        <v>2</v>
      </c>
      <c r="U155" s="3" t="s">
        <v>27</v>
      </c>
      <c r="V155" s="3" t="s">
        <v>27</v>
      </c>
      <c r="W155" s="3" t="s">
        <v>27</v>
      </c>
      <c r="X155" s="3" t="s">
        <v>27</v>
      </c>
      <c r="Y155" s="3" t="s">
        <v>27</v>
      </c>
    </row>
    <row r="156" spans="1:25" x14ac:dyDescent="0.2">
      <c r="A156" s="2">
        <v>45913.993206018517</v>
      </c>
      <c r="B156" t="s">
        <v>272</v>
      </c>
      <c r="C156" t="s">
        <v>161</v>
      </c>
      <c r="D156" t="str">
        <f>"0583299186"</f>
        <v>0583299186</v>
      </c>
      <c r="E156" t="str">
        <f>"0548413587"</f>
        <v>0548413587</v>
      </c>
      <c r="F156" t="s">
        <v>273</v>
      </c>
      <c r="G156" t="s">
        <v>274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>
        <v>1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>
        <v>1</v>
      </c>
      <c r="U156" s="3" t="s">
        <v>27</v>
      </c>
      <c r="V156" s="3" t="s">
        <v>27</v>
      </c>
      <c r="W156" s="3">
        <v>1</v>
      </c>
      <c r="X156" s="3" t="s">
        <v>27</v>
      </c>
      <c r="Y156" s="3" t="s">
        <v>27</v>
      </c>
    </row>
    <row r="157" spans="1:25" x14ac:dyDescent="0.2">
      <c r="A157" s="2">
        <v>45918.76462962963</v>
      </c>
      <c r="B157" t="s">
        <v>275</v>
      </c>
      <c r="C157" t="s">
        <v>56</v>
      </c>
      <c r="D157" t="str">
        <f>"0583277833"</f>
        <v>0583277833</v>
      </c>
      <c r="H157" s="3">
        <v>1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>
        <v>1</v>
      </c>
      <c r="O157" s="3" t="s">
        <v>27</v>
      </c>
      <c r="P157" s="3" t="s">
        <v>27</v>
      </c>
      <c r="Q157" s="3" t="s">
        <v>27</v>
      </c>
      <c r="R157" s="3" t="s">
        <v>27</v>
      </c>
      <c r="S157" s="3">
        <v>1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  <c r="Y157" s="3" t="s">
        <v>27</v>
      </c>
    </row>
    <row r="158" spans="1:25" x14ac:dyDescent="0.2">
      <c r="A158" s="2">
        <v>45916.981354166666</v>
      </c>
      <c r="B158" t="s">
        <v>275</v>
      </c>
      <c r="C158" t="s">
        <v>96</v>
      </c>
      <c r="D158" t="str">
        <f>"0527631178"</f>
        <v>0527631178</v>
      </c>
      <c r="H158" s="3">
        <v>1</v>
      </c>
      <c r="I158" s="3">
        <v>4</v>
      </c>
      <c r="J158" s="3">
        <v>1</v>
      </c>
      <c r="K158" s="3" t="s">
        <v>27</v>
      </c>
      <c r="L158" s="3" t="s">
        <v>27</v>
      </c>
      <c r="M158" s="3" t="s">
        <v>27</v>
      </c>
      <c r="N158" s="3">
        <v>1</v>
      </c>
      <c r="O158" s="3">
        <v>4</v>
      </c>
      <c r="P158" s="3" t="s">
        <v>27</v>
      </c>
      <c r="Q158" s="3" t="s">
        <v>27</v>
      </c>
      <c r="R158" s="3">
        <v>1</v>
      </c>
      <c r="S158" s="3">
        <v>1</v>
      </c>
      <c r="T158" s="3">
        <v>5</v>
      </c>
      <c r="U158" s="3" t="s">
        <v>27</v>
      </c>
      <c r="V158" s="3">
        <v>6</v>
      </c>
      <c r="W158" s="3" t="s">
        <v>27</v>
      </c>
      <c r="X158" s="3">
        <v>6</v>
      </c>
      <c r="Y158" s="3" t="s">
        <v>27</v>
      </c>
    </row>
    <row r="159" spans="1:25" x14ac:dyDescent="0.2">
      <c r="A159" s="2">
        <v>45915.333738425928</v>
      </c>
      <c r="B159" t="s">
        <v>275</v>
      </c>
      <c r="C159" t="s">
        <v>276</v>
      </c>
      <c r="D159" t="str">
        <f>"089797834"</f>
        <v>089797834</v>
      </c>
      <c r="E159" t="str">
        <f>"0555210229"</f>
        <v>0555210229</v>
      </c>
      <c r="H159" s="3">
        <v>3</v>
      </c>
      <c r="I159" s="3">
        <v>2</v>
      </c>
      <c r="J159" s="3">
        <v>3</v>
      </c>
      <c r="K159" s="3" t="s">
        <v>27</v>
      </c>
      <c r="L159" s="3" t="s">
        <v>27</v>
      </c>
      <c r="M159" s="3">
        <v>1</v>
      </c>
      <c r="N159" s="3">
        <v>3</v>
      </c>
      <c r="O159" s="3">
        <v>2</v>
      </c>
      <c r="P159" s="3">
        <v>3</v>
      </c>
      <c r="Q159" s="3" t="s">
        <v>27</v>
      </c>
      <c r="R159" s="3" t="s">
        <v>27</v>
      </c>
      <c r="S159" s="3">
        <v>3</v>
      </c>
      <c r="T159" s="3">
        <v>5</v>
      </c>
      <c r="U159" s="3" t="s">
        <v>27</v>
      </c>
      <c r="V159" s="3">
        <v>8</v>
      </c>
      <c r="W159" s="3" t="s">
        <v>27</v>
      </c>
      <c r="X159" s="3" t="s">
        <v>27</v>
      </c>
      <c r="Y159" s="3" t="s">
        <v>27</v>
      </c>
    </row>
    <row r="160" spans="1:25" x14ac:dyDescent="0.2">
      <c r="A160" s="2">
        <v>45916.736238425925</v>
      </c>
      <c r="B160" t="s">
        <v>277</v>
      </c>
      <c r="C160" t="s">
        <v>58</v>
      </c>
      <c r="D160" t="str">
        <f>"0527676109"</f>
        <v>0527676109</v>
      </c>
      <c r="H160" s="3">
        <v>1</v>
      </c>
      <c r="I160" s="3" t="s">
        <v>27</v>
      </c>
      <c r="J160" s="3" t="s">
        <v>27</v>
      </c>
      <c r="K160" s="3" t="s">
        <v>27</v>
      </c>
      <c r="L160" s="3">
        <v>1</v>
      </c>
      <c r="M160" s="3" t="s">
        <v>27</v>
      </c>
      <c r="N160" s="3">
        <v>1</v>
      </c>
      <c r="O160" s="3" t="s">
        <v>27</v>
      </c>
      <c r="P160" s="3" t="s">
        <v>27</v>
      </c>
      <c r="Q160" s="3" t="s">
        <v>27</v>
      </c>
      <c r="R160" s="3" t="s">
        <v>27</v>
      </c>
      <c r="S160" s="3">
        <v>1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27</v>
      </c>
    </row>
    <row r="161" spans="1:25" x14ac:dyDescent="0.2">
      <c r="A161" s="2">
        <v>45911.97488425926</v>
      </c>
      <c r="B161" t="s">
        <v>278</v>
      </c>
      <c r="C161" t="s">
        <v>279</v>
      </c>
      <c r="D161" t="str">
        <f>"0527163911"</f>
        <v>0527163911</v>
      </c>
      <c r="E161" t="str">
        <f>"086901289"</f>
        <v>086901289</v>
      </c>
      <c r="F161" t="s">
        <v>280</v>
      </c>
      <c r="H161" s="3">
        <v>1</v>
      </c>
      <c r="I161" s="3" t="s">
        <v>27</v>
      </c>
      <c r="J161" s="3" t="s">
        <v>27</v>
      </c>
      <c r="K161" s="3">
        <v>1</v>
      </c>
      <c r="L161" s="3" t="s">
        <v>27</v>
      </c>
      <c r="M161" s="3" t="s">
        <v>27</v>
      </c>
      <c r="N161" s="3">
        <v>2</v>
      </c>
      <c r="O161" s="3" t="s">
        <v>27</v>
      </c>
      <c r="P161" s="3" t="s">
        <v>27</v>
      </c>
      <c r="Q161" s="3" t="s">
        <v>27</v>
      </c>
      <c r="R161" s="3">
        <v>1</v>
      </c>
      <c r="S161" s="3">
        <v>2</v>
      </c>
      <c r="T161" s="3">
        <v>1</v>
      </c>
      <c r="U161" s="3" t="s">
        <v>27</v>
      </c>
      <c r="V161" s="3" t="s">
        <v>27</v>
      </c>
      <c r="W161" s="3" t="s">
        <v>27</v>
      </c>
      <c r="X161" s="3">
        <v>1</v>
      </c>
      <c r="Y161" s="3" t="s">
        <v>27</v>
      </c>
    </row>
    <row r="162" spans="1:25" x14ac:dyDescent="0.2">
      <c r="A162" s="2">
        <v>45911.608668981484</v>
      </c>
      <c r="B162" t="s">
        <v>281</v>
      </c>
      <c r="C162" t="s">
        <v>282</v>
      </c>
      <c r="D162" t="str">
        <f>"086375296"</f>
        <v>086375296</v>
      </c>
      <c r="E162" t="str">
        <f>"0556775978"</f>
        <v>0556775978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>
        <v>1</v>
      </c>
      <c r="O162" s="3" t="s">
        <v>27</v>
      </c>
      <c r="P162" s="3" t="s">
        <v>27</v>
      </c>
      <c r="Q162" s="3" t="s">
        <v>27</v>
      </c>
      <c r="R162" s="3" t="s">
        <v>27</v>
      </c>
      <c r="S162" s="3">
        <v>1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  <c r="Y162" s="3" t="s">
        <v>27</v>
      </c>
    </row>
    <row r="163" spans="1:25" x14ac:dyDescent="0.2">
      <c r="A163" s="2">
        <v>45917.870925925927</v>
      </c>
      <c r="B163" t="s">
        <v>283</v>
      </c>
      <c r="C163" t="s">
        <v>284</v>
      </c>
      <c r="D163" t="str">
        <f>"0556744761"</f>
        <v>0556744761</v>
      </c>
      <c r="H163" s="3">
        <v>1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>
        <v>1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  <c r="Y163" s="3" t="s">
        <v>27</v>
      </c>
    </row>
    <row r="164" spans="1:25" x14ac:dyDescent="0.2">
      <c r="A164" s="2">
        <v>45914.970034722224</v>
      </c>
      <c r="B164" t="s">
        <v>285</v>
      </c>
      <c r="C164" t="s">
        <v>40</v>
      </c>
      <c r="D164" t="str">
        <f>"089747404"</f>
        <v>089747404</v>
      </c>
      <c r="H164" s="3" t="s">
        <v>27</v>
      </c>
      <c r="I164" s="3" t="s">
        <v>27</v>
      </c>
      <c r="J164" s="3" t="s">
        <v>27</v>
      </c>
      <c r="K164" s="3" t="s">
        <v>27</v>
      </c>
      <c r="L164" s="3">
        <v>1</v>
      </c>
      <c r="M164" s="3" t="s">
        <v>27</v>
      </c>
      <c r="N164" s="3">
        <v>1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  <c r="Y164" s="3" t="s">
        <v>27</v>
      </c>
    </row>
    <row r="165" spans="1:25" x14ac:dyDescent="0.2">
      <c r="A165" s="2">
        <v>45915.909618055557</v>
      </c>
      <c r="B165" t="s">
        <v>286</v>
      </c>
      <c r="C165" t="s">
        <v>66</v>
      </c>
      <c r="D165" t="str">
        <f>"0548481691"</f>
        <v>0548481691</v>
      </c>
      <c r="E165" t="str">
        <f>"0533184280"</f>
        <v>0533184280</v>
      </c>
      <c r="H165" s="3" t="s">
        <v>27</v>
      </c>
      <c r="I165" s="3">
        <v>1</v>
      </c>
      <c r="J165" s="3">
        <v>2</v>
      </c>
      <c r="K165" s="3">
        <v>2</v>
      </c>
      <c r="L165" s="3" t="s">
        <v>27</v>
      </c>
      <c r="M165" s="3" t="s">
        <v>27</v>
      </c>
      <c r="N165" s="3" t="s">
        <v>27</v>
      </c>
      <c r="O165" s="3" t="s">
        <v>27</v>
      </c>
      <c r="P165" s="3">
        <v>2</v>
      </c>
      <c r="Q165" s="3" t="s">
        <v>27</v>
      </c>
      <c r="R165" s="3">
        <v>3</v>
      </c>
      <c r="S165" s="3" t="s">
        <v>27</v>
      </c>
      <c r="T165" s="3">
        <v>4</v>
      </c>
      <c r="U165" s="3">
        <v>2</v>
      </c>
      <c r="V165" s="3">
        <v>2</v>
      </c>
      <c r="W165" s="3" t="s">
        <v>27</v>
      </c>
      <c r="X165" s="3">
        <v>6</v>
      </c>
      <c r="Y165" s="3" t="s">
        <v>27</v>
      </c>
    </row>
    <row r="166" spans="1:25" x14ac:dyDescent="0.2">
      <c r="A166" s="2">
        <v>45914.821516203701</v>
      </c>
      <c r="B166" t="s">
        <v>287</v>
      </c>
      <c r="C166" t="s">
        <v>66</v>
      </c>
      <c r="D166" t="str">
        <f>"0548464871"</f>
        <v>0548464871</v>
      </c>
      <c r="E166" t="str">
        <f>"0548469063"</f>
        <v>0548469063</v>
      </c>
      <c r="H166" s="3" t="s">
        <v>27</v>
      </c>
      <c r="I166" s="3">
        <v>1</v>
      </c>
      <c r="J166" s="3" t="s">
        <v>27</v>
      </c>
      <c r="K166" s="3">
        <v>3</v>
      </c>
      <c r="L166" s="3">
        <v>1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>
        <v>3</v>
      </c>
      <c r="S166" s="3" t="s">
        <v>27</v>
      </c>
      <c r="T166" s="3" t="s">
        <v>27</v>
      </c>
      <c r="U166" s="3" t="s">
        <v>27</v>
      </c>
      <c r="V166" s="3" t="s">
        <v>27</v>
      </c>
      <c r="W166" s="3">
        <v>2</v>
      </c>
      <c r="X166" s="3" t="s">
        <v>27</v>
      </c>
      <c r="Y166" s="3" t="s">
        <v>27</v>
      </c>
    </row>
    <row r="167" spans="1:25" x14ac:dyDescent="0.2">
      <c r="A167" s="2">
        <v>45916.55636574074</v>
      </c>
      <c r="B167" t="s">
        <v>288</v>
      </c>
      <c r="C167" t="s">
        <v>289</v>
      </c>
      <c r="D167" t="str">
        <f>"0583221645"</f>
        <v>0583221645</v>
      </c>
      <c r="H167" s="3">
        <v>1</v>
      </c>
      <c r="I167" s="3" t="s">
        <v>27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3" t="s">
        <v>27</v>
      </c>
    </row>
    <row r="168" spans="1:25" x14ac:dyDescent="0.2">
      <c r="A168" s="2">
        <v>45914.94122685185</v>
      </c>
      <c r="B168" t="s">
        <v>290</v>
      </c>
      <c r="C168" t="s">
        <v>29</v>
      </c>
      <c r="D168" t="str">
        <f>"0583292877"</f>
        <v>0583292877</v>
      </c>
      <c r="H168" s="3">
        <v>1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>
        <v>1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  <c r="Y168" s="3" t="s">
        <v>27</v>
      </c>
    </row>
    <row r="169" spans="1:25" x14ac:dyDescent="0.2">
      <c r="A169" s="2">
        <v>45917.544976851852</v>
      </c>
      <c r="B169" t="s">
        <v>291</v>
      </c>
      <c r="C169" t="s">
        <v>292</v>
      </c>
      <c r="D169" t="str">
        <f>"0548528553"</f>
        <v>0548528553</v>
      </c>
      <c r="H169" s="3">
        <v>1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  <c r="Y169" s="3" t="s">
        <v>27</v>
      </c>
    </row>
    <row r="170" spans="1:25" x14ac:dyDescent="0.2">
      <c r="A170" s="2">
        <v>45914.575243055559</v>
      </c>
      <c r="B170" t="s">
        <v>293</v>
      </c>
      <c r="C170" t="s">
        <v>220</v>
      </c>
      <c r="D170" t="str">
        <f>"0527677032"</f>
        <v>0527677032</v>
      </c>
      <c r="H170" s="3">
        <v>1</v>
      </c>
      <c r="I170" s="3" t="s">
        <v>27</v>
      </c>
      <c r="J170" s="3">
        <v>2</v>
      </c>
      <c r="K170" s="3">
        <v>2</v>
      </c>
      <c r="L170" s="3">
        <v>1</v>
      </c>
      <c r="M170" s="3" t="s">
        <v>27</v>
      </c>
      <c r="N170" s="3">
        <v>2</v>
      </c>
      <c r="O170" s="3" t="s">
        <v>27</v>
      </c>
      <c r="P170" s="3">
        <v>2</v>
      </c>
      <c r="Q170" s="3" t="s">
        <v>27</v>
      </c>
      <c r="R170" s="3">
        <v>2</v>
      </c>
      <c r="S170" s="3">
        <v>3</v>
      </c>
      <c r="T170" s="3">
        <v>2</v>
      </c>
      <c r="U170" s="3">
        <v>2</v>
      </c>
      <c r="V170" s="3" t="s">
        <v>27</v>
      </c>
      <c r="W170" s="3" t="s">
        <v>27</v>
      </c>
      <c r="X170" s="3" t="s">
        <v>27</v>
      </c>
      <c r="Y170" s="3">
        <v>1</v>
      </c>
    </row>
    <row r="171" spans="1:25" x14ac:dyDescent="0.2">
      <c r="A171" s="2">
        <v>45916.40828703704</v>
      </c>
      <c r="B171" t="s">
        <v>294</v>
      </c>
      <c r="C171" t="s">
        <v>121</v>
      </c>
      <c r="D171" t="str">
        <f>"0556788640"</f>
        <v>0556788640</v>
      </c>
      <c r="H171" s="3">
        <v>1</v>
      </c>
      <c r="I171" s="3" t="s">
        <v>27</v>
      </c>
      <c r="J171" s="3" t="s">
        <v>27</v>
      </c>
      <c r="K171" s="3" t="s">
        <v>27</v>
      </c>
      <c r="L171" s="3">
        <v>1</v>
      </c>
      <c r="M171" s="3" t="s">
        <v>27</v>
      </c>
      <c r="N171" s="3">
        <v>1</v>
      </c>
      <c r="O171" s="3">
        <v>2</v>
      </c>
      <c r="P171" s="3" t="s">
        <v>27</v>
      </c>
      <c r="Q171" s="3" t="s">
        <v>27</v>
      </c>
      <c r="R171" s="3" t="s">
        <v>27</v>
      </c>
      <c r="S171" s="3">
        <v>3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  <c r="Y171" s="3" t="s">
        <v>27</v>
      </c>
    </row>
    <row r="172" spans="1:25" x14ac:dyDescent="0.2">
      <c r="A172" s="2">
        <v>45916.076701388891</v>
      </c>
      <c r="B172" t="s">
        <v>295</v>
      </c>
      <c r="C172" t="s">
        <v>296</v>
      </c>
      <c r="D172" t="str">
        <f>"0556782362"</f>
        <v>0556782362</v>
      </c>
      <c r="E172" t="str">
        <f>"0548451726"</f>
        <v>0548451726</v>
      </c>
      <c r="F172" t="s">
        <v>297</v>
      </c>
      <c r="G172" t="s">
        <v>298</v>
      </c>
      <c r="H172" s="3">
        <v>1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>
        <v>1</v>
      </c>
      <c r="O172" s="3" t="s">
        <v>27</v>
      </c>
      <c r="P172" s="3" t="s">
        <v>27</v>
      </c>
      <c r="Q172" s="3" t="s">
        <v>27</v>
      </c>
      <c r="R172" s="3" t="s">
        <v>27</v>
      </c>
      <c r="S172" s="3">
        <v>1</v>
      </c>
      <c r="T172" s="3" t="s">
        <v>27</v>
      </c>
      <c r="U172" s="3" t="s">
        <v>27</v>
      </c>
      <c r="V172" s="3">
        <v>1</v>
      </c>
      <c r="W172" s="3">
        <v>1</v>
      </c>
      <c r="X172" s="3" t="s">
        <v>27</v>
      </c>
      <c r="Y172" s="3" t="s">
        <v>27</v>
      </c>
    </row>
    <row r="173" spans="1:25" x14ac:dyDescent="0.2">
      <c r="A173" s="2">
        <v>45912.006168981483</v>
      </c>
      <c r="B173" t="s">
        <v>299</v>
      </c>
      <c r="C173" t="s">
        <v>66</v>
      </c>
      <c r="D173" t="str">
        <f>"0533154470"</f>
        <v>0533154470</v>
      </c>
      <c r="E173" t="str">
        <f>"0548531819"</f>
        <v>0548531819</v>
      </c>
      <c r="F173" t="s">
        <v>300</v>
      </c>
      <c r="H173" s="3">
        <v>1</v>
      </c>
      <c r="I173" s="3" t="s">
        <v>27</v>
      </c>
      <c r="J173" s="3" t="s">
        <v>27</v>
      </c>
      <c r="K173" s="3">
        <v>3</v>
      </c>
      <c r="L173" s="3" t="s">
        <v>27</v>
      </c>
      <c r="M173" s="3" t="s">
        <v>27</v>
      </c>
      <c r="N173" s="3">
        <v>2</v>
      </c>
      <c r="O173" s="3" t="s">
        <v>27</v>
      </c>
      <c r="P173" s="3" t="s">
        <v>27</v>
      </c>
      <c r="Q173" s="3" t="s">
        <v>27</v>
      </c>
      <c r="R173" s="3">
        <v>3</v>
      </c>
      <c r="S173" s="3" t="s">
        <v>27</v>
      </c>
      <c r="T173" s="3" t="s">
        <v>27</v>
      </c>
      <c r="U173" s="3">
        <v>3</v>
      </c>
      <c r="V173" s="3" t="s">
        <v>27</v>
      </c>
      <c r="W173" s="3" t="s">
        <v>27</v>
      </c>
      <c r="X173" s="3" t="s">
        <v>27</v>
      </c>
      <c r="Y173" s="3" t="s">
        <v>27</v>
      </c>
    </row>
    <row r="174" spans="1:25" x14ac:dyDescent="0.2">
      <c r="A174" s="2">
        <v>45915.444120370368</v>
      </c>
      <c r="B174" t="s">
        <v>301</v>
      </c>
      <c r="C174" t="s">
        <v>45</v>
      </c>
      <c r="D174" t="str">
        <f>"0556721221"</f>
        <v>0556721221</v>
      </c>
      <c r="E174" t="str">
        <f>"0556769591"</f>
        <v>0556769591</v>
      </c>
      <c r="F174" t="s">
        <v>302</v>
      </c>
      <c r="H174" s="3" t="s">
        <v>27</v>
      </c>
      <c r="I174" s="3" t="s">
        <v>27</v>
      </c>
      <c r="J174" s="3">
        <v>1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>
        <v>1</v>
      </c>
      <c r="Q174" s="3" t="s">
        <v>27</v>
      </c>
      <c r="R174" s="3" t="s">
        <v>27</v>
      </c>
      <c r="S174" s="3" t="s">
        <v>27</v>
      </c>
      <c r="T174" s="3">
        <v>1</v>
      </c>
      <c r="U174" s="3" t="s">
        <v>27</v>
      </c>
      <c r="V174" s="3">
        <v>1</v>
      </c>
      <c r="W174" s="3" t="s">
        <v>27</v>
      </c>
      <c r="X174" s="3">
        <v>1</v>
      </c>
      <c r="Y174" s="3" t="s">
        <v>27</v>
      </c>
    </row>
    <row r="175" spans="1:25" x14ac:dyDescent="0.2">
      <c r="A175" s="2">
        <v>45914.850115740737</v>
      </c>
      <c r="B175" t="s">
        <v>303</v>
      </c>
      <c r="C175" t="s">
        <v>304</v>
      </c>
      <c r="D175" t="str">
        <f>"0527674373"</f>
        <v>0527674373</v>
      </c>
      <c r="F175" t="s">
        <v>305</v>
      </c>
      <c r="H175" s="3">
        <v>1</v>
      </c>
      <c r="I175" s="3" t="s">
        <v>27</v>
      </c>
      <c r="J175" s="3" t="s">
        <v>27</v>
      </c>
      <c r="K175" s="3">
        <v>1</v>
      </c>
      <c r="L175" s="3" t="s">
        <v>27</v>
      </c>
      <c r="M175" s="3" t="s">
        <v>27</v>
      </c>
      <c r="N175" s="3">
        <v>1</v>
      </c>
      <c r="O175" s="3" t="s">
        <v>27</v>
      </c>
      <c r="P175" s="3" t="s">
        <v>27</v>
      </c>
      <c r="Q175" s="3" t="s">
        <v>27</v>
      </c>
      <c r="R175" s="3">
        <v>1</v>
      </c>
      <c r="S175" s="3">
        <v>1</v>
      </c>
      <c r="T175" s="3" t="s">
        <v>27</v>
      </c>
      <c r="U175" s="3">
        <v>1</v>
      </c>
      <c r="V175" s="3" t="s">
        <v>27</v>
      </c>
      <c r="W175" s="3" t="s">
        <v>27</v>
      </c>
      <c r="X175" s="3" t="s">
        <v>27</v>
      </c>
      <c r="Y175" s="3" t="s">
        <v>27</v>
      </c>
    </row>
    <row r="176" spans="1:25" x14ac:dyDescent="0.2">
      <c r="A176" s="2">
        <v>45919.678263888891</v>
      </c>
      <c r="B176" t="s">
        <v>32</v>
      </c>
      <c r="C176" t="s">
        <v>306</v>
      </c>
      <c r="D176" t="str">
        <f>"0527679989"</f>
        <v>0527679989</v>
      </c>
      <c r="H176" s="3">
        <v>1</v>
      </c>
      <c r="I176" s="3">
        <v>2</v>
      </c>
      <c r="J176" s="3">
        <v>1</v>
      </c>
      <c r="K176" s="3" t="s">
        <v>27</v>
      </c>
      <c r="L176" s="3" t="s">
        <v>27</v>
      </c>
      <c r="M176" s="3" t="s">
        <v>27</v>
      </c>
      <c r="N176" s="3">
        <v>1</v>
      </c>
      <c r="O176" s="3">
        <v>2</v>
      </c>
      <c r="P176" s="3">
        <v>1</v>
      </c>
      <c r="Q176" s="3" t="s">
        <v>27</v>
      </c>
      <c r="R176" s="3" t="s">
        <v>27</v>
      </c>
      <c r="S176" s="3">
        <v>3</v>
      </c>
      <c r="T176" s="3">
        <v>1</v>
      </c>
      <c r="U176" s="3" t="s">
        <v>27</v>
      </c>
      <c r="V176" s="3" t="s">
        <v>27</v>
      </c>
      <c r="W176" s="3" t="s">
        <v>27</v>
      </c>
      <c r="X176" s="3" t="s">
        <v>27</v>
      </c>
      <c r="Y176" s="3" t="s">
        <v>27</v>
      </c>
    </row>
    <row r="177" spans="1:25" x14ac:dyDescent="0.2">
      <c r="A177" s="2">
        <v>45916.826481481483</v>
      </c>
      <c r="B177" t="s">
        <v>307</v>
      </c>
      <c r="C177" t="s">
        <v>241</v>
      </c>
      <c r="D177" t="str">
        <f>"0527131501"</f>
        <v>0527131501</v>
      </c>
      <c r="E177" t="str">
        <f>"0548491488"</f>
        <v>0548491488</v>
      </c>
      <c r="F177" t="s">
        <v>308</v>
      </c>
      <c r="H177" s="3" t="s">
        <v>27</v>
      </c>
      <c r="I177" s="3">
        <v>1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>
        <v>1</v>
      </c>
      <c r="S177" s="3" t="s">
        <v>27</v>
      </c>
      <c r="T177" s="3" t="s">
        <v>27</v>
      </c>
      <c r="U177" s="3">
        <v>1</v>
      </c>
      <c r="V177" s="3" t="s">
        <v>27</v>
      </c>
      <c r="W177" s="3" t="s">
        <v>27</v>
      </c>
      <c r="X177" s="3">
        <v>1</v>
      </c>
      <c r="Y177" s="3" t="s">
        <v>27</v>
      </c>
    </row>
    <row r="178" spans="1:25" x14ac:dyDescent="0.2">
      <c r="A178" s="2">
        <v>45916.903391203705</v>
      </c>
      <c r="B178" t="s">
        <v>309</v>
      </c>
      <c r="C178" t="s">
        <v>66</v>
      </c>
      <c r="D178" t="str">
        <f>"0548532578"</f>
        <v>0548532578</v>
      </c>
      <c r="H178" s="3" t="s">
        <v>27</v>
      </c>
      <c r="I178" s="3" t="s">
        <v>27</v>
      </c>
      <c r="J178" s="3" t="s">
        <v>27</v>
      </c>
      <c r="K178" s="3" t="s">
        <v>27</v>
      </c>
      <c r="L178" s="3">
        <v>1</v>
      </c>
      <c r="M178" s="3" t="s">
        <v>27</v>
      </c>
      <c r="N178" s="3" t="s">
        <v>27</v>
      </c>
      <c r="O178" s="3" t="s">
        <v>27</v>
      </c>
      <c r="P178" s="3" t="s">
        <v>27</v>
      </c>
      <c r="Q178" s="3">
        <v>1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  <c r="Y178" s="3" t="s">
        <v>27</v>
      </c>
    </row>
    <row r="179" spans="1:25" x14ac:dyDescent="0.2">
      <c r="A179" s="2">
        <v>45911.338194444441</v>
      </c>
      <c r="B179" t="s">
        <v>310</v>
      </c>
      <c r="C179" t="s">
        <v>183</v>
      </c>
      <c r="D179" t="str">
        <f>"086446275"</f>
        <v>086446275</v>
      </c>
      <c r="E179" t="str">
        <f>"0527617962"</f>
        <v>0527617962</v>
      </c>
      <c r="H179" s="3">
        <v>1</v>
      </c>
      <c r="I179" s="3" t="s">
        <v>27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>
        <v>1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  <c r="Y179" s="3" t="s">
        <v>27</v>
      </c>
    </row>
    <row r="180" spans="1:25" x14ac:dyDescent="0.2">
      <c r="A180" s="2">
        <v>45911.675428240742</v>
      </c>
      <c r="B180" t="s">
        <v>310</v>
      </c>
      <c r="C180" t="s">
        <v>29</v>
      </c>
      <c r="D180" t="str">
        <f>"0548545030"</f>
        <v>0548545030</v>
      </c>
      <c r="E180" t="str">
        <f>"0556764639"</f>
        <v>0556764639</v>
      </c>
      <c r="F180" t="s">
        <v>311</v>
      </c>
      <c r="H180" s="3" t="s">
        <v>27</v>
      </c>
      <c r="I180" s="3" t="s">
        <v>27</v>
      </c>
      <c r="J180" s="3" t="s">
        <v>27</v>
      </c>
      <c r="K180" s="3" t="s">
        <v>27</v>
      </c>
      <c r="L180" s="3">
        <v>1</v>
      </c>
      <c r="M180" s="3" t="s">
        <v>27</v>
      </c>
      <c r="N180" s="3">
        <v>1</v>
      </c>
      <c r="O180" s="3" t="s">
        <v>27</v>
      </c>
      <c r="P180" s="3" t="s">
        <v>27</v>
      </c>
      <c r="Q180" s="3" t="s">
        <v>27</v>
      </c>
      <c r="R180" s="3" t="s">
        <v>27</v>
      </c>
      <c r="S180" s="3">
        <v>1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27</v>
      </c>
    </row>
    <row r="181" spans="1:25" x14ac:dyDescent="0.2">
      <c r="A181" s="2">
        <v>45918.561273148145</v>
      </c>
      <c r="B181" t="s">
        <v>310</v>
      </c>
      <c r="C181" t="s">
        <v>36</v>
      </c>
      <c r="D181" t="str">
        <f>"0527679412"</f>
        <v>0527679412</v>
      </c>
      <c r="E181" t="str">
        <f>"086339330"</f>
        <v>086339330</v>
      </c>
      <c r="F181" t="s">
        <v>312</v>
      </c>
      <c r="H181" s="3">
        <v>1</v>
      </c>
      <c r="I181" s="3">
        <v>1</v>
      </c>
      <c r="J181" s="3">
        <v>1</v>
      </c>
      <c r="K181" s="3">
        <v>1</v>
      </c>
      <c r="L181" s="3" t="s">
        <v>27</v>
      </c>
      <c r="M181" s="3" t="s">
        <v>27</v>
      </c>
      <c r="N181" s="3">
        <v>1</v>
      </c>
      <c r="O181" s="3">
        <v>1</v>
      </c>
      <c r="P181" s="3">
        <v>1</v>
      </c>
      <c r="Q181" s="3" t="s">
        <v>27</v>
      </c>
      <c r="R181" s="3">
        <v>1</v>
      </c>
      <c r="S181" s="3">
        <v>1</v>
      </c>
      <c r="T181" s="3">
        <v>2</v>
      </c>
      <c r="U181" s="3">
        <v>1</v>
      </c>
      <c r="V181" s="3" t="s">
        <v>27</v>
      </c>
      <c r="W181" s="3" t="s">
        <v>27</v>
      </c>
      <c r="X181" s="3" t="s">
        <v>27</v>
      </c>
      <c r="Y181" s="3" t="s">
        <v>27</v>
      </c>
    </row>
    <row r="182" spans="1:25" x14ac:dyDescent="0.2">
      <c r="A182" s="2">
        <v>45908.576851851853</v>
      </c>
      <c r="B182" t="s">
        <v>41</v>
      </c>
      <c r="C182" t="s">
        <v>60</v>
      </c>
      <c r="D182" t="str">
        <f>"0548418495"</f>
        <v>0548418495</v>
      </c>
      <c r="E182" t="str">
        <f>"0548420001"</f>
        <v>0548420001</v>
      </c>
      <c r="F182" t="s">
        <v>313</v>
      </c>
      <c r="G182" t="s">
        <v>314</v>
      </c>
      <c r="H182" s="3">
        <v>3</v>
      </c>
      <c r="I182" s="3" t="s">
        <v>27</v>
      </c>
      <c r="J182" s="3" t="s">
        <v>27</v>
      </c>
      <c r="K182" s="3" t="s">
        <v>27</v>
      </c>
      <c r="L182" s="3" t="s">
        <v>27</v>
      </c>
      <c r="M182" s="3" t="s">
        <v>27</v>
      </c>
      <c r="N182" s="3">
        <v>3</v>
      </c>
      <c r="O182" s="3" t="s">
        <v>27</v>
      </c>
      <c r="P182" s="3" t="s">
        <v>27</v>
      </c>
      <c r="Q182" s="3" t="s">
        <v>27</v>
      </c>
      <c r="R182" s="3" t="s">
        <v>27</v>
      </c>
      <c r="S182" s="3">
        <v>3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27</v>
      </c>
    </row>
    <row r="183" spans="1:25" x14ac:dyDescent="0.2">
      <c r="A183" s="2">
        <v>45914.88009259259</v>
      </c>
      <c r="B183" t="s">
        <v>315</v>
      </c>
      <c r="C183" t="s">
        <v>40</v>
      </c>
      <c r="D183" t="str">
        <f>"0533147374"</f>
        <v>0533147374</v>
      </c>
      <c r="F183" t="s">
        <v>316</v>
      </c>
      <c r="H183" s="3">
        <v>1</v>
      </c>
      <c r="I183" s="3" t="s">
        <v>27</v>
      </c>
      <c r="J183" s="3" t="s">
        <v>27</v>
      </c>
      <c r="K183" s="3">
        <v>3</v>
      </c>
      <c r="L183" s="3" t="s">
        <v>27</v>
      </c>
      <c r="M183" s="3" t="s">
        <v>27</v>
      </c>
      <c r="N183" s="3">
        <v>1</v>
      </c>
      <c r="O183" s="3" t="s">
        <v>27</v>
      </c>
      <c r="P183" s="3" t="s">
        <v>27</v>
      </c>
      <c r="Q183" s="3" t="s">
        <v>27</v>
      </c>
      <c r="R183" s="3">
        <v>3</v>
      </c>
      <c r="S183" s="3">
        <v>1</v>
      </c>
      <c r="T183" s="3" t="s">
        <v>27</v>
      </c>
      <c r="U183" s="3">
        <v>3</v>
      </c>
      <c r="V183" s="3">
        <v>3</v>
      </c>
      <c r="W183" s="3" t="s">
        <v>27</v>
      </c>
      <c r="X183" s="3">
        <v>2</v>
      </c>
      <c r="Y183" s="3" t="s">
        <v>27</v>
      </c>
    </row>
    <row r="184" spans="1:25" x14ac:dyDescent="0.2">
      <c r="A184" s="2">
        <v>45914.515810185185</v>
      </c>
      <c r="B184" t="s">
        <v>317</v>
      </c>
      <c r="C184" t="s">
        <v>40</v>
      </c>
      <c r="D184" t="str">
        <f>"0545619136"</f>
        <v>0545619136</v>
      </c>
      <c r="F184" t="s">
        <v>318</v>
      </c>
      <c r="H184" s="3">
        <v>1</v>
      </c>
      <c r="I184" s="3" t="s">
        <v>27</v>
      </c>
      <c r="J184" s="3">
        <v>1</v>
      </c>
      <c r="K184" s="3" t="s">
        <v>27</v>
      </c>
      <c r="L184" s="3" t="s">
        <v>27</v>
      </c>
      <c r="M184" s="3" t="s">
        <v>27</v>
      </c>
      <c r="N184" s="3">
        <v>1</v>
      </c>
      <c r="O184" s="3" t="s">
        <v>27</v>
      </c>
      <c r="P184" s="3">
        <v>1</v>
      </c>
      <c r="Q184" s="3" t="s">
        <v>27</v>
      </c>
      <c r="R184" s="3" t="s">
        <v>27</v>
      </c>
      <c r="S184" s="3">
        <v>1</v>
      </c>
      <c r="T184" s="3">
        <v>1</v>
      </c>
      <c r="U184" s="3" t="s">
        <v>27</v>
      </c>
      <c r="V184" s="3">
        <v>2</v>
      </c>
      <c r="W184" s="3" t="s">
        <v>27</v>
      </c>
      <c r="X184" s="3" t="s">
        <v>27</v>
      </c>
      <c r="Y184" s="3" t="s">
        <v>27</v>
      </c>
    </row>
    <row r="185" spans="1:25" x14ac:dyDescent="0.2">
      <c r="A185" s="2">
        <v>45916.890520833331</v>
      </c>
      <c r="B185" t="s">
        <v>319</v>
      </c>
      <c r="C185" t="s">
        <v>45</v>
      </c>
      <c r="D185" t="str">
        <f>"0527644303"</f>
        <v>0527644303</v>
      </c>
      <c r="E185" t="str">
        <f>"0548498881"</f>
        <v>0548498881</v>
      </c>
      <c r="H185" s="3">
        <v>1</v>
      </c>
      <c r="I185" s="3" t="s">
        <v>27</v>
      </c>
      <c r="J185" s="3" t="s">
        <v>27</v>
      </c>
      <c r="K185" s="3">
        <v>1</v>
      </c>
      <c r="L185" s="3" t="s">
        <v>27</v>
      </c>
      <c r="M185" s="3" t="s">
        <v>27</v>
      </c>
      <c r="N185" s="3" t="s">
        <v>27</v>
      </c>
      <c r="O185" s="3">
        <v>1</v>
      </c>
      <c r="P185" s="3" t="s">
        <v>27</v>
      </c>
      <c r="Q185" s="3" t="s">
        <v>27</v>
      </c>
      <c r="R185" s="3">
        <v>1</v>
      </c>
      <c r="S185" s="3" t="s">
        <v>27</v>
      </c>
      <c r="T185" s="3" t="s">
        <v>27</v>
      </c>
      <c r="U185" s="3">
        <v>1</v>
      </c>
      <c r="V185" s="3">
        <v>2</v>
      </c>
      <c r="W185" s="3" t="s">
        <v>27</v>
      </c>
      <c r="X185" s="3" t="s">
        <v>27</v>
      </c>
      <c r="Y185" s="3" t="s">
        <v>27</v>
      </c>
    </row>
    <row r="186" spans="1:25" x14ac:dyDescent="0.2">
      <c r="A186" s="2">
        <v>45916.534513888888</v>
      </c>
      <c r="B186" t="s">
        <v>320</v>
      </c>
      <c r="C186" t="s">
        <v>321</v>
      </c>
      <c r="D186" t="str">
        <f>"0533125457"</f>
        <v>0533125457</v>
      </c>
      <c r="F186" t="s">
        <v>322</v>
      </c>
      <c r="H186" s="3" t="s">
        <v>27</v>
      </c>
      <c r="I186" s="3" t="s">
        <v>27</v>
      </c>
      <c r="J186" s="3" t="s">
        <v>27</v>
      </c>
      <c r="K186" s="3" t="s">
        <v>27</v>
      </c>
      <c r="L186" s="3">
        <v>1</v>
      </c>
      <c r="M186" s="3" t="s">
        <v>27</v>
      </c>
      <c r="N186" s="3">
        <v>1</v>
      </c>
      <c r="O186" s="3" t="s">
        <v>27</v>
      </c>
      <c r="P186" s="3" t="s">
        <v>27</v>
      </c>
      <c r="Q186" s="3" t="s">
        <v>27</v>
      </c>
      <c r="R186" s="3" t="s">
        <v>27</v>
      </c>
      <c r="S186" s="3">
        <v>1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  <c r="Y186" s="3" t="s">
        <v>27</v>
      </c>
    </row>
    <row r="187" spans="1:25" x14ac:dyDescent="0.2">
      <c r="A187" s="2">
        <v>45915.925474537034</v>
      </c>
      <c r="B187" t="s">
        <v>323</v>
      </c>
      <c r="C187" t="s">
        <v>36</v>
      </c>
      <c r="D187" t="str">
        <f>"0556794362"</f>
        <v>0556794362</v>
      </c>
      <c r="E187" t="str">
        <f>"0583267157"</f>
        <v>0583267157</v>
      </c>
      <c r="F187" t="s">
        <v>324</v>
      </c>
      <c r="H187" s="3" t="s">
        <v>27</v>
      </c>
      <c r="I187" s="3" t="s">
        <v>27</v>
      </c>
      <c r="J187" s="3" t="s">
        <v>27</v>
      </c>
      <c r="K187" s="3" t="s">
        <v>27</v>
      </c>
      <c r="L187" s="3">
        <v>1</v>
      </c>
      <c r="M187" s="3" t="s">
        <v>27</v>
      </c>
      <c r="N187" s="3">
        <v>1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>
        <v>1</v>
      </c>
      <c r="U187" s="3" t="s">
        <v>27</v>
      </c>
      <c r="V187" s="3" t="s">
        <v>27</v>
      </c>
      <c r="W187" s="3">
        <v>1</v>
      </c>
      <c r="X187" s="3" t="s">
        <v>27</v>
      </c>
      <c r="Y187" s="3" t="s">
        <v>27</v>
      </c>
    </row>
    <row r="188" spans="1:25" x14ac:dyDescent="0.2">
      <c r="A188" s="2">
        <v>45916.825381944444</v>
      </c>
      <c r="B188" t="s">
        <v>325</v>
      </c>
      <c r="C188" t="s">
        <v>326</v>
      </c>
      <c r="D188" t="str">
        <f>"0538605797"</f>
        <v>0538605797</v>
      </c>
      <c r="F188" t="s">
        <v>327</v>
      </c>
      <c r="H188" s="3">
        <v>1</v>
      </c>
      <c r="I188" s="3">
        <v>1</v>
      </c>
      <c r="J188" s="3">
        <v>1</v>
      </c>
      <c r="K188" s="3" t="s">
        <v>27</v>
      </c>
      <c r="L188" s="3">
        <v>1</v>
      </c>
      <c r="M188" s="3">
        <v>1</v>
      </c>
      <c r="N188" s="3">
        <v>2</v>
      </c>
      <c r="O188" s="3">
        <v>2</v>
      </c>
      <c r="P188" s="3">
        <v>1</v>
      </c>
      <c r="Q188" s="3" t="s">
        <v>27</v>
      </c>
      <c r="R188" s="3" t="s">
        <v>27</v>
      </c>
      <c r="S188" s="3">
        <v>4</v>
      </c>
      <c r="T188" s="3">
        <v>1</v>
      </c>
      <c r="U188" s="3" t="s">
        <v>27</v>
      </c>
      <c r="V188" s="3">
        <v>5</v>
      </c>
      <c r="W188" s="3">
        <v>2</v>
      </c>
      <c r="X188" s="3" t="s">
        <v>27</v>
      </c>
      <c r="Y188" s="3" t="s">
        <v>27</v>
      </c>
    </row>
    <row r="189" spans="1:25" x14ac:dyDescent="0.2">
      <c r="A189" s="2">
        <v>45915.408738425926</v>
      </c>
      <c r="B189" t="s">
        <v>328</v>
      </c>
      <c r="C189" t="s">
        <v>51</v>
      </c>
      <c r="D189" t="str">
        <f>"0583261900"</f>
        <v>0583261900</v>
      </c>
      <c r="E189" t="str">
        <f>"0533181890"</f>
        <v>0533181890</v>
      </c>
      <c r="G189" t="s">
        <v>329</v>
      </c>
      <c r="H189" s="3">
        <v>1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>
        <v>1</v>
      </c>
      <c r="O189" s="3" t="s">
        <v>27</v>
      </c>
      <c r="P189" s="3" t="s">
        <v>27</v>
      </c>
      <c r="Q189" s="3" t="s">
        <v>27</v>
      </c>
      <c r="R189" s="3" t="s">
        <v>27</v>
      </c>
      <c r="S189" s="3">
        <v>1</v>
      </c>
      <c r="T189" s="3" t="s">
        <v>27</v>
      </c>
      <c r="U189" s="3" t="s">
        <v>27</v>
      </c>
      <c r="V189" s="3">
        <v>1</v>
      </c>
      <c r="W189" s="3" t="s">
        <v>27</v>
      </c>
      <c r="X189" s="3" t="s">
        <v>27</v>
      </c>
      <c r="Y189" s="3" t="s">
        <v>27</v>
      </c>
    </row>
    <row r="190" spans="1:25" x14ac:dyDescent="0.2">
      <c r="A190" s="2">
        <v>45916.962268518517</v>
      </c>
      <c r="B190" t="s">
        <v>330</v>
      </c>
      <c r="C190" t="s">
        <v>36</v>
      </c>
      <c r="D190" t="str">
        <f>"0527137678"</f>
        <v>0527137678</v>
      </c>
      <c r="H190" s="3">
        <v>1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>
        <v>1</v>
      </c>
      <c r="O190" s="3" t="s">
        <v>27</v>
      </c>
      <c r="P190" s="3" t="s">
        <v>27</v>
      </c>
      <c r="Q190" s="3" t="s">
        <v>27</v>
      </c>
      <c r="R190" s="3" t="s">
        <v>27</v>
      </c>
      <c r="S190" s="3">
        <v>1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  <c r="Y190" s="3" t="s">
        <v>27</v>
      </c>
    </row>
    <row r="191" spans="1:25" x14ac:dyDescent="0.2">
      <c r="A191" s="2">
        <v>45908.856365740743</v>
      </c>
      <c r="B191" t="s">
        <v>331</v>
      </c>
      <c r="C191" t="s">
        <v>332</v>
      </c>
      <c r="D191" t="str">
        <f>"0548531919"</f>
        <v>0548531919</v>
      </c>
      <c r="E191" t="str">
        <f>"086896086"</f>
        <v>086896086</v>
      </c>
      <c r="F191" t="s">
        <v>333</v>
      </c>
      <c r="H191" s="3" t="s">
        <v>27</v>
      </c>
      <c r="I191" s="3" t="s">
        <v>27</v>
      </c>
      <c r="J191" s="3" t="s">
        <v>27</v>
      </c>
      <c r="K191" s="3" t="s">
        <v>27</v>
      </c>
      <c r="L191" s="3">
        <v>1</v>
      </c>
      <c r="M191" s="3" t="s">
        <v>27</v>
      </c>
      <c r="N191" s="3">
        <v>1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>
        <v>1</v>
      </c>
      <c r="U191" s="3" t="s">
        <v>27</v>
      </c>
      <c r="V191" s="3" t="s">
        <v>27</v>
      </c>
      <c r="W191" s="3" t="s">
        <v>27</v>
      </c>
      <c r="X191" s="3" t="s">
        <v>27</v>
      </c>
      <c r="Y191" s="3" t="s">
        <v>27</v>
      </c>
    </row>
    <row r="192" spans="1:25" x14ac:dyDescent="0.2">
      <c r="A192" s="2">
        <v>45915.878020833334</v>
      </c>
      <c r="B192" t="s">
        <v>334</v>
      </c>
      <c r="C192" t="s">
        <v>119</v>
      </c>
      <c r="D192" t="str">
        <f>"0504148377"</f>
        <v>0504148377</v>
      </c>
      <c r="H192" s="3">
        <v>1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>
        <v>1</v>
      </c>
      <c r="O192" s="3" t="s">
        <v>27</v>
      </c>
      <c r="P192" s="3" t="s">
        <v>27</v>
      </c>
      <c r="Q192" s="3" t="s">
        <v>27</v>
      </c>
      <c r="R192" s="3" t="s">
        <v>27</v>
      </c>
      <c r="S192" s="3">
        <v>1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  <c r="Y192" s="3" t="s">
        <v>27</v>
      </c>
    </row>
    <row r="193" spans="1:25" x14ac:dyDescent="0.2">
      <c r="A193" s="2">
        <v>45914.62395833333</v>
      </c>
      <c r="B193" t="s">
        <v>335</v>
      </c>
      <c r="C193" t="s">
        <v>336</v>
      </c>
      <c r="D193" t="str">
        <f>"0527623912"</f>
        <v>0527623912</v>
      </c>
      <c r="H193" s="3">
        <v>2</v>
      </c>
      <c r="I193" s="3">
        <v>2</v>
      </c>
      <c r="J193" s="3">
        <v>2</v>
      </c>
      <c r="K193" s="3">
        <v>1</v>
      </c>
      <c r="L193" s="3" t="s">
        <v>27</v>
      </c>
      <c r="M193" s="3" t="s">
        <v>27</v>
      </c>
      <c r="N193" s="3">
        <v>2</v>
      </c>
      <c r="O193" s="3">
        <v>2</v>
      </c>
      <c r="P193" s="3">
        <v>2</v>
      </c>
      <c r="Q193" s="3" t="s">
        <v>27</v>
      </c>
      <c r="R193" s="3">
        <v>1</v>
      </c>
      <c r="S193" s="3" t="s">
        <v>27</v>
      </c>
      <c r="T193" s="3">
        <v>2</v>
      </c>
      <c r="U193" s="3">
        <v>1</v>
      </c>
      <c r="V193" s="3" t="s">
        <v>27</v>
      </c>
      <c r="W193" s="3" t="s">
        <v>27</v>
      </c>
      <c r="X193" s="3" t="s">
        <v>27</v>
      </c>
      <c r="Y193" s="3" t="s">
        <v>27</v>
      </c>
    </row>
    <row r="194" spans="1:25" x14ac:dyDescent="0.2">
      <c r="A194" s="2">
        <v>45916.606087962966</v>
      </c>
      <c r="B194" t="s">
        <v>337</v>
      </c>
      <c r="C194" t="s">
        <v>36</v>
      </c>
      <c r="D194" t="str">
        <f>"0533121133"</f>
        <v>0533121133</v>
      </c>
      <c r="H194" s="3">
        <v>1</v>
      </c>
      <c r="I194" s="3" t="s">
        <v>27</v>
      </c>
      <c r="J194" s="3" t="s">
        <v>27</v>
      </c>
      <c r="K194" s="3" t="s">
        <v>27</v>
      </c>
      <c r="L194" s="3">
        <v>1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 t="s">
        <v>27</v>
      </c>
    </row>
    <row r="195" spans="1:25" x14ac:dyDescent="0.2">
      <c r="A195" s="2">
        <v>45916.058159722219</v>
      </c>
      <c r="B195" t="s">
        <v>338</v>
      </c>
      <c r="C195" t="s">
        <v>339</v>
      </c>
      <c r="D195" t="str">
        <f>"0533171098"</f>
        <v>0533171098</v>
      </c>
      <c r="H195" s="3">
        <v>1</v>
      </c>
      <c r="I195" s="3" t="s">
        <v>27</v>
      </c>
      <c r="J195" s="3" t="s">
        <v>27</v>
      </c>
      <c r="K195" s="3" t="s">
        <v>27</v>
      </c>
      <c r="L195" s="3" t="s">
        <v>27</v>
      </c>
      <c r="M195" s="3" t="s">
        <v>27</v>
      </c>
      <c r="N195" s="3">
        <v>1</v>
      </c>
      <c r="O195" s="3" t="s">
        <v>27</v>
      </c>
      <c r="P195" s="3" t="s">
        <v>27</v>
      </c>
      <c r="Q195" s="3" t="s">
        <v>27</v>
      </c>
      <c r="R195" s="3" t="s">
        <v>27</v>
      </c>
      <c r="S195" s="3">
        <v>1</v>
      </c>
      <c r="T195" s="3" t="s">
        <v>27</v>
      </c>
      <c r="U195" s="3" t="s">
        <v>27</v>
      </c>
      <c r="V195" s="3">
        <v>1</v>
      </c>
      <c r="W195" s="3">
        <v>1</v>
      </c>
      <c r="X195" s="3" t="s">
        <v>27</v>
      </c>
      <c r="Y195" s="3" t="s">
        <v>27</v>
      </c>
    </row>
    <row r="196" spans="1:25" x14ac:dyDescent="0.2">
      <c r="A196" s="2">
        <v>45915.470983796295</v>
      </c>
      <c r="B196" t="s">
        <v>340</v>
      </c>
      <c r="C196" t="s">
        <v>341</v>
      </c>
      <c r="D196" t="str">
        <f>"0533101484"</f>
        <v>0533101484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>
        <v>1</v>
      </c>
      <c r="O196" s="3" t="s">
        <v>27</v>
      </c>
      <c r="P196" s="3" t="s">
        <v>27</v>
      </c>
      <c r="Q196" s="3" t="s">
        <v>27</v>
      </c>
      <c r="R196" s="3" t="s">
        <v>27</v>
      </c>
      <c r="S196" s="3">
        <v>1</v>
      </c>
      <c r="T196" s="3" t="s">
        <v>27</v>
      </c>
      <c r="U196" s="3" t="s">
        <v>27</v>
      </c>
      <c r="V196" s="3">
        <v>1</v>
      </c>
      <c r="W196" s="3" t="s">
        <v>27</v>
      </c>
      <c r="X196" s="3" t="s">
        <v>27</v>
      </c>
      <c r="Y196" s="3" t="s">
        <v>27</v>
      </c>
    </row>
    <row r="197" spans="1:25" x14ac:dyDescent="0.2">
      <c r="A197" s="2">
        <v>45919.052256944444</v>
      </c>
      <c r="B197" t="s">
        <v>76</v>
      </c>
      <c r="C197" t="s">
        <v>210</v>
      </c>
      <c r="D197" t="str">
        <f>"0557095283"</f>
        <v>0557095283</v>
      </c>
      <c r="F197" t="s">
        <v>342</v>
      </c>
      <c r="H197" s="3" t="s">
        <v>27</v>
      </c>
      <c r="I197" s="3" t="s">
        <v>27</v>
      </c>
      <c r="J197" s="3" t="s">
        <v>27</v>
      </c>
      <c r="K197" s="3" t="s">
        <v>27</v>
      </c>
      <c r="L197" s="3">
        <v>1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>
        <v>1</v>
      </c>
      <c r="U197" s="3" t="s">
        <v>27</v>
      </c>
      <c r="V197" s="3" t="s">
        <v>27</v>
      </c>
      <c r="W197" s="3" t="s">
        <v>27</v>
      </c>
      <c r="X197" s="3" t="s">
        <v>27</v>
      </c>
      <c r="Y197" s="3" t="s">
        <v>27</v>
      </c>
    </row>
    <row r="198" spans="1:25" x14ac:dyDescent="0.2">
      <c r="A198" s="2">
        <v>45908.732164351852</v>
      </c>
      <c r="B198" t="s">
        <v>343</v>
      </c>
      <c r="C198" t="s">
        <v>82</v>
      </c>
      <c r="D198" t="str">
        <f>"0527163036"</f>
        <v>0527163036</v>
      </c>
      <c r="E198" t="str">
        <f>"0548402623"</f>
        <v>0548402623</v>
      </c>
      <c r="F198" t="s">
        <v>344</v>
      </c>
      <c r="H198" s="3" t="s">
        <v>27</v>
      </c>
      <c r="I198" s="3" t="s">
        <v>27</v>
      </c>
      <c r="J198" s="3" t="s">
        <v>27</v>
      </c>
      <c r="K198" s="3">
        <v>1</v>
      </c>
      <c r="L198" s="3">
        <v>1</v>
      </c>
      <c r="M198" s="3" t="s">
        <v>27</v>
      </c>
      <c r="N198" s="3">
        <v>1</v>
      </c>
      <c r="O198" s="3" t="s">
        <v>27</v>
      </c>
      <c r="P198" s="3" t="s">
        <v>27</v>
      </c>
      <c r="Q198" s="3" t="s">
        <v>27</v>
      </c>
      <c r="R198" s="3" t="s">
        <v>27</v>
      </c>
      <c r="S198" s="3">
        <v>1</v>
      </c>
      <c r="T198" s="3" t="s">
        <v>27</v>
      </c>
      <c r="U198" s="3">
        <v>1</v>
      </c>
      <c r="V198" s="3" t="s">
        <v>27</v>
      </c>
      <c r="W198" s="3" t="s">
        <v>27</v>
      </c>
      <c r="X198" s="3" t="s">
        <v>27</v>
      </c>
      <c r="Y198" s="3" t="s">
        <v>27</v>
      </c>
    </row>
    <row r="199" spans="1:25" x14ac:dyDescent="0.2">
      <c r="A199" s="2">
        <v>45916.943831018521</v>
      </c>
      <c r="B199" t="s">
        <v>345</v>
      </c>
      <c r="C199" t="s">
        <v>40</v>
      </c>
      <c r="D199" t="str">
        <f>"0527117314"</f>
        <v>0527117314</v>
      </c>
      <c r="H199" s="3">
        <v>1</v>
      </c>
      <c r="I199" s="3" t="s">
        <v>27</v>
      </c>
      <c r="J199" s="3" t="s">
        <v>27</v>
      </c>
      <c r="K199" s="3" t="s">
        <v>27</v>
      </c>
      <c r="L199" s="3" t="s">
        <v>27</v>
      </c>
      <c r="M199" s="3">
        <v>1</v>
      </c>
      <c r="N199" s="3">
        <v>2</v>
      </c>
      <c r="O199" s="3" t="s">
        <v>27</v>
      </c>
      <c r="P199" s="3" t="s">
        <v>27</v>
      </c>
      <c r="Q199" s="3" t="s">
        <v>27</v>
      </c>
      <c r="R199" s="3" t="s">
        <v>27</v>
      </c>
      <c r="S199" s="3">
        <v>1</v>
      </c>
      <c r="T199" s="3">
        <v>1</v>
      </c>
      <c r="U199" s="3" t="s">
        <v>27</v>
      </c>
      <c r="V199" s="3" t="s">
        <v>27</v>
      </c>
      <c r="W199" s="3">
        <v>2</v>
      </c>
      <c r="X199" s="3" t="s">
        <v>27</v>
      </c>
      <c r="Y199" s="3">
        <v>1</v>
      </c>
    </row>
    <row r="200" spans="1:25" x14ac:dyDescent="0.2">
      <c r="A200" s="2">
        <v>45908.84542824074</v>
      </c>
      <c r="B200" t="s">
        <v>346</v>
      </c>
      <c r="C200" t="s">
        <v>347</v>
      </c>
      <c r="D200" t="str">
        <f>"0534761744"</f>
        <v>0534761744</v>
      </c>
      <c r="F200" t="s">
        <v>348</v>
      </c>
      <c r="H200" s="3" t="s">
        <v>27</v>
      </c>
      <c r="I200" s="3" t="s">
        <v>27</v>
      </c>
      <c r="J200" s="3">
        <v>1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>
        <v>1</v>
      </c>
      <c r="Q200" s="3" t="s">
        <v>27</v>
      </c>
      <c r="R200" s="3" t="s">
        <v>27</v>
      </c>
      <c r="S200" s="3" t="s">
        <v>27</v>
      </c>
      <c r="T200" s="3">
        <v>1</v>
      </c>
      <c r="U200" s="3" t="s">
        <v>27</v>
      </c>
      <c r="V200" s="3">
        <v>1</v>
      </c>
      <c r="W200" s="3">
        <v>1</v>
      </c>
      <c r="X200" s="3" t="s">
        <v>27</v>
      </c>
      <c r="Y200" s="3" t="s">
        <v>27</v>
      </c>
    </row>
    <row r="201" spans="1:25" x14ac:dyDescent="0.2">
      <c r="A201" s="2">
        <v>45916.577048611114</v>
      </c>
      <c r="B201" t="s">
        <v>84</v>
      </c>
      <c r="C201" t="s">
        <v>349</v>
      </c>
      <c r="D201" t="str">
        <f>"0527173360"</f>
        <v>0527173360</v>
      </c>
      <c r="H201" s="3">
        <v>1</v>
      </c>
      <c r="I201" s="3" t="s">
        <v>27</v>
      </c>
      <c r="J201" s="3" t="s">
        <v>27</v>
      </c>
      <c r="K201" s="3" t="s">
        <v>27</v>
      </c>
      <c r="L201" s="3" t="s">
        <v>27</v>
      </c>
      <c r="M201" s="3" t="s">
        <v>27</v>
      </c>
      <c r="N201" s="3">
        <v>1</v>
      </c>
      <c r="O201" s="3" t="s">
        <v>27</v>
      </c>
      <c r="P201" s="3" t="s">
        <v>27</v>
      </c>
      <c r="Q201" s="3" t="s">
        <v>27</v>
      </c>
      <c r="R201" s="3" t="s">
        <v>27</v>
      </c>
      <c r="S201" s="3">
        <v>1</v>
      </c>
      <c r="T201" s="3" t="s">
        <v>27</v>
      </c>
      <c r="U201" s="3" t="s">
        <v>27</v>
      </c>
      <c r="V201" s="3">
        <v>1</v>
      </c>
      <c r="W201" s="3" t="s">
        <v>27</v>
      </c>
      <c r="X201" s="3" t="s">
        <v>27</v>
      </c>
      <c r="Y201" s="3" t="s">
        <v>27</v>
      </c>
    </row>
    <row r="202" spans="1:25" x14ac:dyDescent="0.2">
      <c r="A202" s="2">
        <v>45915.995381944442</v>
      </c>
      <c r="B202" t="s">
        <v>350</v>
      </c>
      <c r="C202" t="s">
        <v>351</v>
      </c>
      <c r="D202" t="str">
        <f>"0527616930"</f>
        <v>0527616930</v>
      </c>
      <c r="E202" t="str">
        <f>"0527616931"</f>
        <v>0527616931</v>
      </c>
      <c r="H202" s="3" t="s">
        <v>27</v>
      </c>
      <c r="I202" s="3" t="s">
        <v>27</v>
      </c>
      <c r="J202" s="3" t="s">
        <v>27</v>
      </c>
      <c r="K202" s="3" t="s">
        <v>27</v>
      </c>
      <c r="L202" s="3" t="s">
        <v>27</v>
      </c>
      <c r="M202" s="3" t="s">
        <v>27</v>
      </c>
      <c r="N202" s="3">
        <v>1</v>
      </c>
      <c r="O202" s="3" t="s">
        <v>27</v>
      </c>
      <c r="P202" s="3">
        <v>1</v>
      </c>
      <c r="Q202" s="3" t="s">
        <v>27</v>
      </c>
      <c r="R202" s="3" t="s">
        <v>27</v>
      </c>
      <c r="S202" s="3">
        <v>1</v>
      </c>
      <c r="T202" s="3">
        <v>2</v>
      </c>
      <c r="U202" s="3" t="s">
        <v>27</v>
      </c>
      <c r="V202" s="3" t="s">
        <v>27</v>
      </c>
      <c r="W202" s="3" t="s">
        <v>27</v>
      </c>
      <c r="X202" s="3" t="s">
        <v>27</v>
      </c>
      <c r="Y202" s="3" t="s">
        <v>27</v>
      </c>
    </row>
    <row r="203" spans="1:25" x14ac:dyDescent="0.2">
      <c r="A203" s="2">
        <v>45908.97011574074</v>
      </c>
      <c r="B203" t="s">
        <v>352</v>
      </c>
      <c r="C203" t="s">
        <v>40</v>
      </c>
      <c r="D203" t="str">
        <f>"086420432"</f>
        <v>086420432</v>
      </c>
      <c r="E203" t="str">
        <f>"0504106077"</f>
        <v>0504106077</v>
      </c>
      <c r="F203" t="s">
        <v>353</v>
      </c>
      <c r="H203" s="3" t="s">
        <v>27</v>
      </c>
      <c r="I203" s="3">
        <v>2</v>
      </c>
      <c r="J203" s="3" t="s">
        <v>27</v>
      </c>
      <c r="K203" s="3">
        <v>1</v>
      </c>
      <c r="L203" s="3" t="s">
        <v>27</v>
      </c>
      <c r="M203" s="3" t="s">
        <v>27</v>
      </c>
      <c r="N203" s="3" t="s">
        <v>27</v>
      </c>
      <c r="O203" s="3">
        <v>2</v>
      </c>
      <c r="P203" s="3" t="s">
        <v>27</v>
      </c>
      <c r="Q203" s="3" t="s">
        <v>27</v>
      </c>
      <c r="R203" s="3">
        <v>1</v>
      </c>
      <c r="S203" s="3">
        <v>2</v>
      </c>
      <c r="T203" s="3" t="s">
        <v>27</v>
      </c>
      <c r="U203" s="3">
        <v>1</v>
      </c>
      <c r="V203" s="3" t="s">
        <v>27</v>
      </c>
      <c r="W203" s="3" t="s">
        <v>27</v>
      </c>
      <c r="X203" s="3" t="s">
        <v>27</v>
      </c>
      <c r="Y203" s="3" t="s">
        <v>27</v>
      </c>
    </row>
    <row r="204" spans="1:25" x14ac:dyDescent="0.2">
      <c r="A204" s="2">
        <v>45916.593449074076</v>
      </c>
      <c r="B204" t="s">
        <v>354</v>
      </c>
      <c r="C204" t="s">
        <v>36</v>
      </c>
      <c r="D204" t="str">
        <f>"0527684435"</f>
        <v>0527684435</v>
      </c>
      <c r="H204" s="3">
        <v>1</v>
      </c>
      <c r="I204" s="3" t="s">
        <v>27</v>
      </c>
      <c r="J204" s="3" t="s">
        <v>27</v>
      </c>
      <c r="K204" s="3" t="s">
        <v>27</v>
      </c>
      <c r="L204" s="3" t="s">
        <v>27</v>
      </c>
      <c r="M204" s="3" t="s">
        <v>27</v>
      </c>
      <c r="N204" s="3">
        <v>1</v>
      </c>
      <c r="O204" s="3" t="s">
        <v>27</v>
      </c>
      <c r="P204" s="3" t="s">
        <v>27</v>
      </c>
      <c r="Q204" s="3" t="s">
        <v>27</v>
      </c>
      <c r="R204" s="3" t="s">
        <v>27</v>
      </c>
      <c r="S204" s="3">
        <v>1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27</v>
      </c>
    </row>
    <row r="205" spans="1:25" x14ac:dyDescent="0.2">
      <c r="A205" s="2">
        <v>45916.857291666667</v>
      </c>
      <c r="B205" t="s">
        <v>355</v>
      </c>
      <c r="C205" t="s">
        <v>356</v>
      </c>
      <c r="D205" t="str">
        <f>"0527125426"</f>
        <v>0527125426</v>
      </c>
      <c r="H205" s="3" t="s">
        <v>27</v>
      </c>
      <c r="I205" s="3" t="s">
        <v>27</v>
      </c>
      <c r="J205" s="3" t="s">
        <v>27</v>
      </c>
      <c r="K205" s="3" t="s">
        <v>27</v>
      </c>
      <c r="L205" s="3">
        <v>1</v>
      </c>
      <c r="M205" s="3" t="s">
        <v>27</v>
      </c>
      <c r="N205" s="3">
        <v>1</v>
      </c>
      <c r="O205" s="3" t="s">
        <v>27</v>
      </c>
      <c r="P205" s="3" t="s">
        <v>27</v>
      </c>
      <c r="Q205" s="3" t="s">
        <v>27</v>
      </c>
      <c r="R205" s="3" t="s">
        <v>27</v>
      </c>
      <c r="S205" s="3">
        <v>1</v>
      </c>
      <c r="T205" s="3" t="s">
        <v>27</v>
      </c>
      <c r="U205" s="3" t="s">
        <v>27</v>
      </c>
      <c r="V205" s="3">
        <v>1</v>
      </c>
      <c r="W205" s="3" t="s">
        <v>27</v>
      </c>
      <c r="X205" s="3" t="s">
        <v>27</v>
      </c>
      <c r="Y205" s="3" t="s">
        <v>27</v>
      </c>
    </row>
    <row r="206" spans="1:25" x14ac:dyDescent="0.2">
      <c r="A206" s="2">
        <v>45911.035081018519</v>
      </c>
      <c r="B206" t="s">
        <v>357</v>
      </c>
      <c r="C206" t="s">
        <v>56</v>
      </c>
      <c r="D206" t="str">
        <f>"0548432804"</f>
        <v>0548432804</v>
      </c>
      <c r="E206" t="str">
        <f>"089740804"</f>
        <v>089740804</v>
      </c>
      <c r="F206" t="s">
        <v>358</v>
      </c>
      <c r="G206" t="s">
        <v>359</v>
      </c>
      <c r="H206" s="3">
        <v>1</v>
      </c>
      <c r="I206" s="3" t="s">
        <v>27</v>
      </c>
      <c r="J206" s="3">
        <v>2</v>
      </c>
      <c r="K206" s="3" t="s">
        <v>27</v>
      </c>
      <c r="L206" s="3" t="s">
        <v>27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 t="s">
        <v>27</v>
      </c>
      <c r="S206" s="3">
        <v>1</v>
      </c>
      <c r="T206" s="3">
        <v>3</v>
      </c>
      <c r="U206" s="3" t="s">
        <v>27</v>
      </c>
      <c r="V206" s="3">
        <v>4</v>
      </c>
      <c r="W206" s="3" t="s">
        <v>27</v>
      </c>
      <c r="X206" s="3" t="s">
        <v>27</v>
      </c>
      <c r="Y206" s="3" t="s">
        <v>27</v>
      </c>
    </row>
    <row r="207" spans="1:25" x14ac:dyDescent="0.2">
      <c r="A207" s="2">
        <v>45916.692233796297</v>
      </c>
      <c r="B207" t="s">
        <v>360</v>
      </c>
      <c r="C207" t="s">
        <v>66</v>
      </c>
      <c r="D207" t="str">
        <f>"0527170422"</f>
        <v>0527170422</v>
      </c>
      <c r="E207" t="str">
        <f>"0548408057"</f>
        <v>0548408057</v>
      </c>
      <c r="F207" t="s">
        <v>361</v>
      </c>
      <c r="H207" s="3">
        <v>2</v>
      </c>
      <c r="I207" s="3">
        <v>3</v>
      </c>
      <c r="J207" s="3" t="s">
        <v>27</v>
      </c>
      <c r="K207" s="3">
        <v>2</v>
      </c>
      <c r="L207" s="3" t="s">
        <v>27</v>
      </c>
      <c r="M207" s="3" t="s">
        <v>27</v>
      </c>
      <c r="N207" s="3">
        <v>2</v>
      </c>
      <c r="O207" s="3">
        <v>3</v>
      </c>
      <c r="P207" s="3" t="s">
        <v>27</v>
      </c>
      <c r="Q207" s="3" t="s">
        <v>27</v>
      </c>
      <c r="R207" s="3">
        <v>2</v>
      </c>
      <c r="S207" s="3">
        <v>2</v>
      </c>
      <c r="T207" s="3">
        <v>3</v>
      </c>
      <c r="U207" s="3">
        <v>2</v>
      </c>
      <c r="V207" s="3" t="s">
        <v>27</v>
      </c>
      <c r="W207" s="3" t="s">
        <v>27</v>
      </c>
      <c r="X207" s="3" t="s">
        <v>27</v>
      </c>
      <c r="Y207" s="3" t="s">
        <v>27</v>
      </c>
    </row>
    <row r="208" spans="1:25" x14ac:dyDescent="0.2">
      <c r="A208" s="2">
        <v>45916.928518518522</v>
      </c>
      <c r="B208" t="s">
        <v>362</v>
      </c>
      <c r="C208" t="s">
        <v>112</v>
      </c>
      <c r="D208" t="str">
        <f>"0504107281"</f>
        <v>0504107281</v>
      </c>
      <c r="E208" t="str">
        <f>"0504107281"</f>
        <v>0504107281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>
        <v>1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  <c r="Y208" s="3" t="s">
        <v>27</v>
      </c>
    </row>
    <row r="209" spans="1:25" x14ac:dyDescent="0.2">
      <c r="A209" s="2">
        <v>45914.887326388889</v>
      </c>
      <c r="B209" t="s">
        <v>363</v>
      </c>
      <c r="C209" t="s">
        <v>60</v>
      </c>
      <c r="D209" t="str">
        <f>"0527663058"</f>
        <v>0527663058</v>
      </c>
      <c r="H209" s="3" t="s">
        <v>27</v>
      </c>
      <c r="I209" s="3" t="s">
        <v>27</v>
      </c>
      <c r="J209" s="3" t="s">
        <v>27</v>
      </c>
      <c r="K209" s="3" t="s">
        <v>27</v>
      </c>
      <c r="L209" s="3">
        <v>1</v>
      </c>
      <c r="M209" s="3">
        <v>1</v>
      </c>
      <c r="N209" s="3">
        <v>1</v>
      </c>
      <c r="O209" s="3">
        <v>1</v>
      </c>
      <c r="P209" s="3" t="s">
        <v>27</v>
      </c>
      <c r="Q209" s="3" t="s">
        <v>27</v>
      </c>
      <c r="R209" s="3" t="s">
        <v>27</v>
      </c>
      <c r="S209" s="3">
        <v>1</v>
      </c>
      <c r="T209" s="3" t="s">
        <v>27</v>
      </c>
      <c r="U209" s="3" t="s">
        <v>27</v>
      </c>
      <c r="V209" s="3">
        <v>1</v>
      </c>
      <c r="W209" s="3" t="s">
        <v>27</v>
      </c>
      <c r="X209" s="3" t="s">
        <v>27</v>
      </c>
      <c r="Y209" s="3" t="s">
        <v>27</v>
      </c>
    </row>
    <row r="210" spans="1:25" x14ac:dyDescent="0.2">
      <c r="A210" s="2">
        <v>45916.561956018515</v>
      </c>
      <c r="B210" t="s">
        <v>364</v>
      </c>
      <c r="C210" t="s">
        <v>161</v>
      </c>
      <c r="D210" t="str">
        <f>"0527130739"</f>
        <v>0527130739</v>
      </c>
      <c r="H210" s="3">
        <v>1</v>
      </c>
      <c r="I210" s="3" t="s">
        <v>27</v>
      </c>
      <c r="J210" s="3" t="s">
        <v>27</v>
      </c>
      <c r="K210" s="3">
        <v>2</v>
      </c>
      <c r="L210" s="3" t="s">
        <v>27</v>
      </c>
      <c r="M210" s="3" t="s">
        <v>27</v>
      </c>
      <c r="N210" s="3">
        <v>1</v>
      </c>
      <c r="O210" s="3" t="s">
        <v>27</v>
      </c>
      <c r="P210" s="3" t="s">
        <v>27</v>
      </c>
      <c r="Q210" s="3" t="s">
        <v>27</v>
      </c>
      <c r="R210" s="3">
        <v>2</v>
      </c>
      <c r="S210" s="3">
        <v>1</v>
      </c>
      <c r="T210" s="3" t="s">
        <v>27</v>
      </c>
      <c r="U210" s="3">
        <v>2</v>
      </c>
      <c r="V210" s="3" t="s">
        <v>27</v>
      </c>
      <c r="W210" s="3" t="s">
        <v>27</v>
      </c>
      <c r="X210" s="3">
        <v>3</v>
      </c>
      <c r="Y210" s="3" t="s">
        <v>27</v>
      </c>
    </row>
    <row r="211" spans="1:25" x14ac:dyDescent="0.2">
      <c r="A211" s="2">
        <v>45917.037210648145</v>
      </c>
      <c r="B211" t="s">
        <v>365</v>
      </c>
      <c r="C211" t="s">
        <v>137</v>
      </c>
      <c r="D211" t="str">
        <f>"0548495635"</f>
        <v>0548495635</v>
      </c>
      <c r="E211" t="str">
        <f>"0548446178"</f>
        <v>0548446178</v>
      </c>
      <c r="F211" t="s">
        <v>366</v>
      </c>
      <c r="H211" s="3">
        <v>1</v>
      </c>
      <c r="I211" s="3" t="s">
        <v>27</v>
      </c>
      <c r="J211" s="3" t="s">
        <v>27</v>
      </c>
      <c r="K211" s="3">
        <v>1</v>
      </c>
      <c r="L211" s="3" t="s">
        <v>27</v>
      </c>
      <c r="M211" s="3" t="s">
        <v>27</v>
      </c>
      <c r="N211" s="3">
        <v>1</v>
      </c>
      <c r="O211" s="3" t="s">
        <v>27</v>
      </c>
      <c r="P211" s="3" t="s">
        <v>27</v>
      </c>
      <c r="Q211" s="3" t="s">
        <v>27</v>
      </c>
      <c r="R211" s="3">
        <v>1</v>
      </c>
      <c r="S211" s="3">
        <v>1</v>
      </c>
      <c r="T211" s="3" t="s">
        <v>27</v>
      </c>
      <c r="U211" s="3">
        <v>1</v>
      </c>
      <c r="V211" s="3">
        <v>1</v>
      </c>
      <c r="W211" s="3">
        <v>1</v>
      </c>
      <c r="X211" s="3">
        <v>1</v>
      </c>
      <c r="Y211" s="3">
        <v>1</v>
      </c>
    </row>
    <row r="212" spans="1:25" x14ac:dyDescent="0.2">
      <c r="A212" s="2">
        <v>45915.768483796295</v>
      </c>
      <c r="B212" t="s">
        <v>367</v>
      </c>
      <c r="C212" t="s">
        <v>45</v>
      </c>
      <c r="D212" t="str">
        <f>"0533165174"</f>
        <v>0533165174</v>
      </c>
      <c r="H212" s="3" t="s">
        <v>27</v>
      </c>
      <c r="I212" s="3">
        <v>1</v>
      </c>
      <c r="J212" s="3" t="s">
        <v>27</v>
      </c>
      <c r="K212" s="3">
        <v>1</v>
      </c>
      <c r="L212" s="3" t="s">
        <v>27</v>
      </c>
      <c r="M212" s="3" t="s">
        <v>27</v>
      </c>
      <c r="N212" s="3">
        <v>1</v>
      </c>
      <c r="O212" s="3" t="s">
        <v>27</v>
      </c>
      <c r="P212" s="3" t="s">
        <v>27</v>
      </c>
      <c r="Q212" s="3" t="s">
        <v>27</v>
      </c>
      <c r="R212" s="3">
        <v>1</v>
      </c>
      <c r="S212" s="3">
        <v>1</v>
      </c>
      <c r="T212" s="3" t="s">
        <v>27</v>
      </c>
      <c r="U212" s="3">
        <v>1</v>
      </c>
      <c r="V212" s="3" t="s">
        <v>27</v>
      </c>
      <c r="W212" s="3" t="s">
        <v>27</v>
      </c>
      <c r="X212" s="3" t="s">
        <v>27</v>
      </c>
      <c r="Y212" s="3" t="s">
        <v>27</v>
      </c>
    </row>
    <row r="213" spans="1:25" x14ac:dyDescent="0.2">
      <c r="A213" s="2">
        <v>45913.98</v>
      </c>
      <c r="B213" t="s">
        <v>368</v>
      </c>
      <c r="C213" t="s">
        <v>137</v>
      </c>
      <c r="D213" t="str">
        <f>"0504173930"</f>
        <v>0504173930</v>
      </c>
      <c r="F213" t="s">
        <v>369</v>
      </c>
      <c r="H213" s="3" t="s">
        <v>27</v>
      </c>
      <c r="I213" s="3" t="s">
        <v>27</v>
      </c>
      <c r="J213" s="3" t="s">
        <v>27</v>
      </c>
      <c r="K213" s="3" t="s">
        <v>27</v>
      </c>
      <c r="L213" s="3">
        <v>3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  <c r="Y213" s="3" t="s">
        <v>27</v>
      </c>
    </row>
    <row r="214" spans="1:25" x14ac:dyDescent="0.2">
      <c r="A214" s="2">
        <v>45916.001377314817</v>
      </c>
      <c r="B214" t="s">
        <v>118</v>
      </c>
      <c r="C214" t="s">
        <v>99</v>
      </c>
      <c r="D214" t="str">
        <f>"0504121162"</f>
        <v>0504121162</v>
      </c>
      <c r="E214" t="str">
        <f>"0527165134"</f>
        <v>0527165134</v>
      </c>
      <c r="H214" s="3" t="s">
        <v>27</v>
      </c>
      <c r="I214" s="3" t="s">
        <v>27</v>
      </c>
      <c r="J214" s="3">
        <v>1</v>
      </c>
      <c r="K214" s="3">
        <v>1</v>
      </c>
      <c r="L214" s="3" t="s">
        <v>27</v>
      </c>
      <c r="M214" s="3" t="s">
        <v>27</v>
      </c>
      <c r="N214" s="3">
        <v>1</v>
      </c>
      <c r="O214" s="3" t="s">
        <v>27</v>
      </c>
      <c r="P214" s="3">
        <v>1</v>
      </c>
      <c r="Q214" s="3" t="s">
        <v>27</v>
      </c>
      <c r="R214" s="3">
        <v>1</v>
      </c>
      <c r="S214" s="3">
        <v>2</v>
      </c>
      <c r="T214" s="3" t="s">
        <v>27</v>
      </c>
      <c r="U214" s="3">
        <v>1</v>
      </c>
      <c r="V214" s="3" t="s">
        <v>27</v>
      </c>
      <c r="W214" s="3" t="s">
        <v>27</v>
      </c>
      <c r="X214" s="3">
        <v>1</v>
      </c>
      <c r="Y214" s="3" t="s">
        <v>27</v>
      </c>
    </row>
    <row r="215" spans="1:25" x14ac:dyDescent="0.2">
      <c r="A215" s="2">
        <v>45916.768935185188</v>
      </c>
      <c r="B215" t="s">
        <v>370</v>
      </c>
      <c r="C215" t="s">
        <v>371</v>
      </c>
      <c r="D215" t="str">
        <f>"0534194613"</f>
        <v>0534194613</v>
      </c>
      <c r="H215" s="3">
        <v>1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>
        <v>1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>
        <v>1</v>
      </c>
      <c r="W215" s="3" t="s">
        <v>27</v>
      </c>
      <c r="X215" s="3">
        <v>1</v>
      </c>
      <c r="Y215" s="3" t="s">
        <v>27</v>
      </c>
    </row>
    <row r="216" spans="1:25" x14ac:dyDescent="0.2">
      <c r="A216" s="2">
        <v>45914.563055555554</v>
      </c>
      <c r="B216" t="s">
        <v>372</v>
      </c>
      <c r="C216" t="s">
        <v>26</v>
      </c>
      <c r="D216" t="str">
        <f>"0585184689"</f>
        <v>0585184689</v>
      </c>
      <c r="F216" t="s">
        <v>373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>
        <v>1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  <c r="Y216" s="3" t="s">
        <v>27</v>
      </c>
    </row>
    <row r="217" spans="1:25" x14ac:dyDescent="0.2">
      <c r="A217" s="2">
        <v>45914.59710648148</v>
      </c>
      <c r="B217" t="s">
        <v>374</v>
      </c>
      <c r="C217" t="s">
        <v>89</v>
      </c>
      <c r="D217" t="str">
        <f>"0527146787"</f>
        <v>0527146787</v>
      </c>
      <c r="E217" t="str">
        <f>"086458158"</f>
        <v>086458158</v>
      </c>
      <c r="F217" t="s">
        <v>375</v>
      </c>
      <c r="H217" s="3" t="s">
        <v>27</v>
      </c>
      <c r="I217" s="3">
        <v>1</v>
      </c>
      <c r="J217" s="3">
        <v>1</v>
      </c>
      <c r="K217" s="3" t="s">
        <v>27</v>
      </c>
      <c r="L217" s="3" t="s">
        <v>27</v>
      </c>
      <c r="M217" s="3" t="s">
        <v>27</v>
      </c>
      <c r="N217" s="3">
        <v>1</v>
      </c>
      <c r="O217" s="3" t="s">
        <v>27</v>
      </c>
      <c r="P217" s="3">
        <v>1</v>
      </c>
      <c r="Q217" s="3" t="s">
        <v>27</v>
      </c>
      <c r="R217" s="3" t="s">
        <v>27</v>
      </c>
      <c r="S217" s="3">
        <v>1</v>
      </c>
      <c r="T217" s="3">
        <v>1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27</v>
      </c>
    </row>
    <row r="218" spans="1:25" x14ac:dyDescent="0.2">
      <c r="A218" s="2">
        <v>45916.566620370373</v>
      </c>
      <c r="B218" t="s">
        <v>376</v>
      </c>
      <c r="C218" t="s">
        <v>377</v>
      </c>
      <c r="D218" t="str">
        <f>"0548591598"</f>
        <v>0548591598</v>
      </c>
      <c r="H218" s="3" t="s">
        <v>27</v>
      </c>
      <c r="I218" s="3" t="s">
        <v>27</v>
      </c>
      <c r="J218" s="3" t="s">
        <v>27</v>
      </c>
      <c r="K218" s="3">
        <v>1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>
        <v>1</v>
      </c>
      <c r="S218" s="3" t="s">
        <v>27</v>
      </c>
      <c r="T218" s="3" t="s">
        <v>27</v>
      </c>
      <c r="U218" s="3">
        <v>1</v>
      </c>
      <c r="V218" s="3" t="s">
        <v>27</v>
      </c>
      <c r="W218" s="3" t="s">
        <v>27</v>
      </c>
      <c r="X218" s="3" t="s">
        <v>27</v>
      </c>
      <c r="Y218" s="3" t="s">
        <v>27</v>
      </c>
    </row>
    <row r="219" spans="1:25" x14ac:dyDescent="0.2">
      <c r="A219" s="2">
        <v>45916.074189814812</v>
      </c>
      <c r="B219" t="s">
        <v>378</v>
      </c>
      <c r="C219" t="s">
        <v>143</v>
      </c>
      <c r="D219" t="str">
        <f>"0527611452"</f>
        <v>0527611452</v>
      </c>
      <c r="F219" t="s">
        <v>379</v>
      </c>
      <c r="H219" s="3">
        <v>1</v>
      </c>
      <c r="I219" s="3">
        <v>3</v>
      </c>
      <c r="J219" s="3" t="s">
        <v>27</v>
      </c>
      <c r="K219" s="3" t="s">
        <v>27</v>
      </c>
      <c r="L219" s="3" t="s">
        <v>27</v>
      </c>
      <c r="M219" s="3" t="s">
        <v>27</v>
      </c>
      <c r="N219" s="3">
        <v>1</v>
      </c>
      <c r="O219" s="3">
        <v>3</v>
      </c>
      <c r="P219" s="3" t="s">
        <v>27</v>
      </c>
      <c r="Q219" s="3" t="s">
        <v>27</v>
      </c>
      <c r="R219" s="3" t="s">
        <v>27</v>
      </c>
      <c r="S219" s="3">
        <v>4</v>
      </c>
      <c r="T219" s="3" t="s">
        <v>27</v>
      </c>
      <c r="U219" s="3" t="s">
        <v>27</v>
      </c>
      <c r="V219" s="3" t="s">
        <v>27</v>
      </c>
      <c r="W219" s="3" t="s">
        <v>27</v>
      </c>
      <c r="X219" s="3">
        <v>3</v>
      </c>
      <c r="Y219" s="3" t="s">
        <v>27</v>
      </c>
    </row>
    <row r="220" spans="1:25" x14ac:dyDescent="0.2">
      <c r="A220" s="2">
        <v>45915.925729166665</v>
      </c>
      <c r="B220" t="s">
        <v>380</v>
      </c>
      <c r="C220" t="s">
        <v>29</v>
      </c>
      <c r="D220" t="str">
        <f>"0548464378"</f>
        <v>0548464378</v>
      </c>
      <c r="E220" t="str">
        <f>"086791177"</f>
        <v>086791177</v>
      </c>
      <c r="H220" s="3">
        <v>1</v>
      </c>
      <c r="I220" s="3" t="s">
        <v>27</v>
      </c>
      <c r="J220" s="3" t="s">
        <v>27</v>
      </c>
      <c r="K220" s="3" t="s">
        <v>27</v>
      </c>
      <c r="L220" s="3" t="s">
        <v>27</v>
      </c>
      <c r="M220" s="3" t="s">
        <v>27</v>
      </c>
      <c r="N220" s="3">
        <v>1</v>
      </c>
      <c r="O220" s="3" t="s">
        <v>27</v>
      </c>
      <c r="P220" s="3" t="s">
        <v>27</v>
      </c>
      <c r="Q220" s="3" t="s">
        <v>27</v>
      </c>
      <c r="R220" s="3" t="s">
        <v>27</v>
      </c>
      <c r="S220" s="3">
        <v>1</v>
      </c>
      <c r="T220" s="3" t="s">
        <v>27</v>
      </c>
      <c r="U220" s="3" t="s">
        <v>27</v>
      </c>
      <c r="V220" s="3">
        <v>1</v>
      </c>
      <c r="W220" s="3">
        <v>1</v>
      </c>
      <c r="X220" s="3" t="s">
        <v>27</v>
      </c>
      <c r="Y220" s="3" t="s">
        <v>27</v>
      </c>
    </row>
    <row r="221" spans="1:25" x14ac:dyDescent="0.2">
      <c r="A221" s="2">
        <v>45910.575740740744</v>
      </c>
      <c r="B221" t="s">
        <v>381</v>
      </c>
      <c r="C221" t="s">
        <v>382</v>
      </c>
      <c r="D221" t="str">
        <f>"0587126260"</f>
        <v>0587126260</v>
      </c>
      <c r="F221" t="s">
        <v>383</v>
      </c>
      <c r="H221" s="3" t="s">
        <v>27</v>
      </c>
      <c r="I221" s="3" t="s">
        <v>27</v>
      </c>
      <c r="J221" s="3" t="s">
        <v>27</v>
      </c>
      <c r="K221" s="3" t="s">
        <v>27</v>
      </c>
      <c r="L221" s="3">
        <v>1</v>
      </c>
      <c r="M221" s="3" t="s">
        <v>27</v>
      </c>
      <c r="N221" s="3">
        <v>1</v>
      </c>
      <c r="O221" s="3" t="s">
        <v>27</v>
      </c>
      <c r="P221" s="3" t="s">
        <v>27</v>
      </c>
      <c r="Q221" s="3" t="s">
        <v>27</v>
      </c>
      <c r="R221" s="3" t="s">
        <v>27</v>
      </c>
      <c r="S221" s="3">
        <v>1</v>
      </c>
      <c r="T221" s="3" t="s">
        <v>27</v>
      </c>
      <c r="U221" s="3" t="s">
        <v>27</v>
      </c>
      <c r="V221" s="3" t="s">
        <v>27</v>
      </c>
      <c r="W221" s="3" t="s">
        <v>27</v>
      </c>
      <c r="X221" s="3">
        <v>1</v>
      </c>
      <c r="Y221" s="3" t="s">
        <v>27</v>
      </c>
    </row>
    <row r="222" spans="1:25" x14ac:dyDescent="0.2">
      <c r="A222" s="2">
        <v>45916.679895833331</v>
      </c>
      <c r="B222" t="s">
        <v>384</v>
      </c>
      <c r="C222" t="s">
        <v>60</v>
      </c>
      <c r="D222" t="str">
        <f>"0548488246"</f>
        <v>0548488246</v>
      </c>
      <c r="H222" s="3" t="s">
        <v>27</v>
      </c>
      <c r="I222" s="3" t="s">
        <v>27</v>
      </c>
      <c r="J222" s="3" t="s">
        <v>27</v>
      </c>
      <c r="K222" s="3">
        <v>1</v>
      </c>
      <c r="L222" s="3" t="s">
        <v>27</v>
      </c>
      <c r="M222" s="3" t="s">
        <v>27</v>
      </c>
      <c r="N222" s="3">
        <v>1</v>
      </c>
      <c r="O222" s="3" t="s">
        <v>27</v>
      </c>
      <c r="P222" s="3" t="s">
        <v>27</v>
      </c>
      <c r="Q222" s="3" t="s">
        <v>27</v>
      </c>
      <c r="R222" s="3">
        <v>1</v>
      </c>
      <c r="S222" s="3" t="s">
        <v>27</v>
      </c>
      <c r="T222" s="3" t="s">
        <v>27</v>
      </c>
      <c r="U222" s="3">
        <v>1</v>
      </c>
      <c r="V222" s="3" t="s">
        <v>27</v>
      </c>
      <c r="W222" s="3" t="s">
        <v>27</v>
      </c>
      <c r="X222" s="3">
        <v>1</v>
      </c>
      <c r="Y222" s="3" t="s">
        <v>27</v>
      </c>
    </row>
    <row r="223" spans="1:25" x14ac:dyDescent="0.2">
      <c r="A223" s="2">
        <v>45911.818541666667</v>
      </c>
      <c r="B223" t="s">
        <v>385</v>
      </c>
      <c r="C223" t="s">
        <v>31</v>
      </c>
      <c r="D223" t="str">
        <f>"0556769134"</f>
        <v>0556769134</v>
      </c>
      <c r="F223" t="s">
        <v>386</v>
      </c>
      <c r="H223" s="3" t="s">
        <v>27</v>
      </c>
      <c r="I223" s="3" t="s">
        <v>27</v>
      </c>
      <c r="J223" s="3" t="s">
        <v>27</v>
      </c>
      <c r="K223" s="3" t="s">
        <v>27</v>
      </c>
      <c r="L223" s="3" t="s">
        <v>27</v>
      </c>
      <c r="M223" s="3" t="s">
        <v>27</v>
      </c>
      <c r="N223" s="3">
        <v>1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  <c r="Y223" s="3" t="s">
        <v>27</v>
      </c>
    </row>
    <row r="224" spans="1:25" x14ac:dyDescent="0.2">
      <c r="A224" s="2">
        <v>45916.864791666667</v>
      </c>
      <c r="B224" t="s">
        <v>387</v>
      </c>
      <c r="C224" t="s">
        <v>29</v>
      </c>
      <c r="D224" t="str">
        <f>"0527682038"</f>
        <v>0527682038</v>
      </c>
      <c r="H224" s="3" t="s">
        <v>27</v>
      </c>
      <c r="I224" s="3" t="s">
        <v>27</v>
      </c>
      <c r="J224" s="3">
        <v>1</v>
      </c>
      <c r="K224" s="3">
        <v>2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>
        <v>3</v>
      </c>
      <c r="S224" s="3" t="s">
        <v>27</v>
      </c>
      <c r="T224" s="3">
        <v>1</v>
      </c>
      <c r="U224" s="3">
        <v>2</v>
      </c>
      <c r="V224" s="3">
        <v>2</v>
      </c>
      <c r="W224" s="3" t="s">
        <v>27</v>
      </c>
      <c r="X224" s="3">
        <v>1</v>
      </c>
      <c r="Y224" s="3" t="s">
        <v>27</v>
      </c>
    </row>
    <row r="225" spans="1:25" x14ac:dyDescent="0.2">
      <c r="A225" s="2">
        <v>45915.97859953704</v>
      </c>
      <c r="B225" t="s">
        <v>388</v>
      </c>
      <c r="C225" t="s">
        <v>99</v>
      </c>
      <c r="D225" t="str">
        <f>"0548539537"</f>
        <v>0548539537</v>
      </c>
      <c r="E225" t="str">
        <f>"0527627753"</f>
        <v>0527627753</v>
      </c>
      <c r="H225" s="3">
        <v>1</v>
      </c>
      <c r="I225" s="3" t="s">
        <v>27</v>
      </c>
      <c r="J225" s="3" t="s">
        <v>27</v>
      </c>
      <c r="K225" s="3">
        <v>1</v>
      </c>
      <c r="L225" s="3" t="s">
        <v>27</v>
      </c>
      <c r="M225" s="3" t="s">
        <v>27</v>
      </c>
      <c r="N225" s="3">
        <v>1</v>
      </c>
      <c r="O225" s="3" t="s">
        <v>27</v>
      </c>
      <c r="P225" s="3" t="s">
        <v>27</v>
      </c>
      <c r="Q225" s="3" t="s">
        <v>27</v>
      </c>
      <c r="R225" s="3">
        <v>1</v>
      </c>
      <c r="S225" s="3">
        <v>1</v>
      </c>
      <c r="T225" s="3" t="s">
        <v>27</v>
      </c>
      <c r="U225" s="3">
        <v>1</v>
      </c>
      <c r="V225" s="3" t="s">
        <v>27</v>
      </c>
      <c r="W225" s="3" t="s">
        <v>27</v>
      </c>
      <c r="X225" s="3" t="s">
        <v>27</v>
      </c>
      <c r="Y225" s="3" t="s">
        <v>27</v>
      </c>
    </row>
    <row r="226" spans="1:25" x14ac:dyDescent="0.2">
      <c r="A226" s="2">
        <v>45915.787905092591</v>
      </c>
      <c r="B226" t="s">
        <v>389</v>
      </c>
      <c r="C226" t="s">
        <v>183</v>
      </c>
      <c r="D226" t="str">
        <f>"0548469852"</f>
        <v>0548469852</v>
      </c>
      <c r="H226" s="3">
        <v>1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>
        <v>2</v>
      </c>
      <c r="O226" s="3" t="s">
        <v>27</v>
      </c>
      <c r="P226" s="3" t="s">
        <v>27</v>
      </c>
      <c r="Q226" s="3" t="s">
        <v>27</v>
      </c>
      <c r="R226" s="3" t="s">
        <v>27</v>
      </c>
      <c r="S226" s="3">
        <v>2</v>
      </c>
      <c r="T226" s="3" t="s">
        <v>27</v>
      </c>
      <c r="U226" s="3" t="s">
        <v>27</v>
      </c>
      <c r="V226" s="3">
        <v>2</v>
      </c>
      <c r="W226" s="3" t="s">
        <v>27</v>
      </c>
      <c r="X226" s="3" t="s">
        <v>27</v>
      </c>
      <c r="Y226" s="3" t="s">
        <v>27</v>
      </c>
    </row>
    <row r="227" spans="1:25" x14ac:dyDescent="0.2">
      <c r="A227" s="2">
        <v>45916.814027777778</v>
      </c>
      <c r="B227" t="s">
        <v>390</v>
      </c>
      <c r="C227" t="s">
        <v>119</v>
      </c>
      <c r="D227" t="str">
        <f>"0583234919"</f>
        <v>0583234919</v>
      </c>
      <c r="E227" t="str">
        <f>"0548534919"</f>
        <v>0548534919</v>
      </c>
      <c r="H227" s="3">
        <v>1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>
        <v>1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  <c r="Y227" s="3" t="s">
        <v>27</v>
      </c>
    </row>
    <row r="228" spans="1:25" x14ac:dyDescent="0.2">
      <c r="A228" s="2">
        <v>45908.743842592594</v>
      </c>
      <c r="B228" t="s">
        <v>391</v>
      </c>
      <c r="C228" t="s">
        <v>96</v>
      </c>
      <c r="D228" t="str">
        <f>"0548403451"</f>
        <v>0548403451</v>
      </c>
      <c r="F228" t="s">
        <v>392</v>
      </c>
      <c r="H228" s="3" t="s">
        <v>27</v>
      </c>
      <c r="I228" s="3" t="s">
        <v>27</v>
      </c>
      <c r="J228" s="3">
        <v>1</v>
      </c>
      <c r="K228" s="3">
        <v>2</v>
      </c>
      <c r="L228" s="3" t="s">
        <v>27</v>
      </c>
      <c r="M228" s="3" t="s">
        <v>27</v>
      </c>
      <c r="N228" s="3" t="s">
        <v>27</v>
      </c>
      <c r="O228" s="3" t="s">
        <v>27</v>
      </c>
      <c r="P228" s="3">
        <v>1</v>
      </c>
      <c r="Q228" s="3" t="s">
        <v>27</v>
      </c>
      <c r="R228" s="3">
        <v>2</v>
      </c>
      <c r="S228" s="3" t="s">
        <v>27</v>
      </c>
      <c r="T228" s="3">
        <v>1</v>
      </c>
      <c r="U228" s="3">
        <v>2</v>
      </c>
      <c r="V228" s="3" t="s">
        <v>27</v>
      </c>
      <c r="W228" s="3" t="s">
        <v>27</v>
      </c>
      <c r="X228" s="3" t="s">
        <v>27</v>
      </c>
      <c r="Y228" s="3" t="s">
        <v>27</v>
      </c>
    </row>
    <row r="229" spans="1:25" x14ac:dyDescent="0.2">
      <c r="A229" s="2">
        <v>45915.669849537036</v>
      </c>
      <c r="B229" t="s">
        <v>393</v>
      </c>
      <c r="C229" t="s">
        <v>394</v>
      </c>
      <c r="D229" t="str">
        <f>"0556775981"</f>
        <v>0556775981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>
        <v>1</v>
      </c>
      <c r="P229" s="3" t="s">
        <v>27</v>
      </c>
      <c r="Q229" s="3" t="s">
        <v>27</v>
      </c>
      <c r="R229" s="3" t="s">
        <v>27</v>
      </c>
      <c r="S229" s="3" t="s">
        <v>27</v>
      </c>
      <c r="T229" s="3">
        <v>1</v>
      </c>
      <c r="U229" s="3" t="s">
        <v>27</v>
      </c>
      <c r="V229" s="3">
        <v>1</v>
      </c>
      <c r="W229" s="3" t="s">
        <v>27</v>
      </c>
      <c r="X229" s="3" t="s">
        <v>27</v>
      </c>
      <c r="Y229" s="3" t="s">
        <v>27</v>
      </c>
    </row>
    <row r="230" spans="1:25" x14ac:dyDescent="0.2">
      <c r="A230" s="2">
        <v>45915.858599537038</v>
      </c>
      <c r="B230" t="s">
        <v>395</v>
      </c>
      <c r="C230" t="s">
        <v>57</v>
      </c>
      <c r="D230" t="str">
        <f>"0527645619"</f>
        <v>0527645619</v>
      </c>
      <c r="E230" t="str">
        <f>"089285619"</f>
        <v>089285619</v>
      </c>
      <c r="H230" s="3">
        <v>2</v>
      </c>
      <c r="I230" s="3" t="s">
        <v>27</v>
      </c>
      <c r="J230" s="3" t="s">
        <v>27</v>
      </c>
      <c r="K230" s="3">
        <v>1</v>
      </c>
      <c r="L230" s="3" t="s">
        <v>27</v>
      </c>
      <c r="M230" s="3" t="s">
        <v>27</v>
      </c>
      <c r="N230" s="3">
        <v>2</v>
      </c>
      <c r="O230" s="3" t="s">
        <v>27</v>
      </c>
      <c r="P230" s="3" t="s">
        <v>27</v>
      </c>
      <c r="Q230" s="3" t="s">
        <v>27</v>
      </c>
      <c r="R230" s="3">
        <v>1</v>
      </c>
      <c r="S230" s="3">
        <v>2</v>
      </c>
      <c r="T230" s="3" t="s">
        <v>27</v>
      </c>
      <c r="U230" s="3">
        <v>1</v>
      </c>
      <c r="V230" s="3" t="s">
        <v>27</v>
      </c>
      <c r="W230" s="3" t="s">
        <v>27</v>
      </c>
      <c r="X230" s="3" t="s">
        <v>27</v>
      </c>
      <c r="Y230" s="3" t="s">
        <v>27</v>
      </c>
    </row>
    <row r="231" spans="1:25" x14ac:dyDescent="0.2">
      <c r="A231" s="2">
        <v>45917.004236111112</v>
      </c>
      <c r="B231" t="s">
        <v>396</v>
      </c>
      <c r="C231" t="s">
        <v>397</v>
      </c>
      <c r="D231" t="str">
        <f>"0527604857"</f>
        <v>0527604857</v>
      </c>
      <c r="F231" t="s">
        <v>398</v>
      </c>
      <c r="H231" s="3">
        <v>1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  <c r="Y231" s="3" t="s">
        <v>27</v>
      </c>
    </row>
    <row r="232" spans="1:25" x14ac:dyDescent="0.2">
      <c r="A232" s="2">
        <v>45916.978275462963</v>
      </c>
      <c r="B232" t="s">
        <v>399</v>
      </c>
      <c r="C232" t="s">
        <v>60</v>
      </c>
      <c r="D232" t="str">
        <f>"0534192824"</f>
        <v>0534192824</v>
      </c>
      <c r="H232" s="3">
        <v>1</v>
      </c>
      <c r="I232" s="3" t="s">
        <v>27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  <c r="Y232" s="3" t="s">
        <v>27</v>
      </c>
    </row>
    <row r="233" spans="1:25" x14ac:dyDescent="0.2">
      <c r="A233" s="2">
        <v>45918.067210648151</v>
      </c>
      <c r="B233" t="s">
        <v>400</v>
      </c>
      <c r="C233" t="s">
        <v>99</v>
      </c>
      <c r="D233" t="str">
        <f>"0548434682"</f>
        <v>0548434682</v>
      </c>
      <c r="H233" s="3">
        <v>1</v>
      </c>
      <c r="I233" s="3">
        <v>2</v>
      </c>
      <c r="J233" s="3">
        <v>2</v>
      </c>
      <c r="K233" s="3" t="s">
        <v>27</v>
      </c>
      <c r="L233" s="3">
        <v>1</v>
      </c>
      <c r="M233" s="3" t="s">
        <v>27</v>
      </c>
      <c r="N233" s="3">
        <v>1</v>
      </c>
      <c r="O233" s="3">
        <v>2</v>
      </c>
      <c r="P233" s="3" t="s">
        <v>27</v>
      </c>
      <c r="Q233" s="3" t="s">
        <v>27</v>
      </c>
      <c r="R233" s="3" t="s">
        <v>27</v>
      </c>
      <c r="S233" s="3">
        <v>2</v>
      </c>
      <c r="T233" s="3">
        <v>4</v>
      </c>
      <c r="U233" s="3" t="s">
        <v>27</v>
      </c>
      <c r="V233" s="3" t="s">
        <v>27</v>
      </c>
      <c r="W233" s="3" t="s">
        <v>27</v>
      </c>
      <c r="X233" s="3" t="s">
        <v>27</v>
      </c>
      <c r="Y233" s="3" t="s">
        <v>27</v>
      </c>
    </row>
    <row r="234" spans="1:25" x14ac:dyDescent="0.2">
      <c r="A234" s="2">
        <v>45916.993252314816</v>
      </c>
      <c r="B234" t="s">
        <v>401</v>
      </c>
      <c r="C234" t="s">
        <v>60</v>
      </c>
      <c r="D234" t="str">
        <f>"0583253360"</f>
        <v>0583253360</v>
      </c>
      <c r="E234" t="str">
        <f>"0533183761"</f>
        <v>0533183761</v>
      </c>
      <c r="F234" t="s">
        <v>402</v>
      </c>
      <c r="G234" t="s">
        <v>403</v>
      </c>
      <c r="H234" s="3">
        <v>1</v>
      </c>
      <c r="I234" s="3" t="s">
        <v>27</v>
      </c>
      <c r="J234" s="3" t="s">
        <v>27</v>
      </c>
      <c r="K234" s="3" t="s">
        <v>27</v>
      </c>
      <c r="L234" s="3" t="s">
        <v>27</v>
      </c>
      <c r="M234" s="3" t="s">
        <v>27</v>
      </c>
      <c r="N234" s="3">
        <v>1</v>
      </c>
      <c r="O234" s="3" t="s">
        <v>27</v>
      </c>
      <c r="P234" s="3" t="s">
        <v>27</v>
      </c>
      <c r="Q234" s="3" t="s">
        <v>27</v>
      </c>
      <c r="R234" s="3" t="s">
        <v>27</v>
      </c>
      <c r="S234" s="3">
        <v>1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  <c r="Y234" s="3" t="s">
        <v>27</v>
      </c>
    </row>
    <row r="235" spans="1:25" x14ac:dyDescent="0.2">
      <c r="A235" s="2">
        <v>45916.983229166668</v>
      </c>
      <c r="B235" t="s">
        <v>145</v>
      </c>
      <c r="C235" t="s">
        <v>112</v>
      </c>
      <c r="D235" t="str">
        <f>"0527127652"</f>
        <v>0527127652</v>
      </c>
      <c r="H235" s="3">
        <v>1</v>
      </c>
      <c r="I235" s="3" t="s">
        <v>27</v>
      </c>
      <c r="J235" s="3" t="s">
        <v>27</v>
      </c>
      <c r="K235" s="3" t="s">
        <v>27</v>
      </c>
      <c r="L235" s="3">
        <v>1</v>
      </c>
      <c r="M235" s="3" t="s">
        <v>27</v>
      </c>
      <c r="N235" s="3">
        <v>2</v>
      </c>
      <c r="O235" s="3" t="s">
        <v>27</v>
      </c>
      <c r="P235" s="3" t="s">
        <v>27</v>
      </c>
      <c r="Q235" s="3" t="s">
        <v>27</v>
      </c>
      <c r="R235" s="3" t="s">
        <v>27</v>
      </c>
      <c r="S235" s="3">
        <v>2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  <c r="Y235" s="3" t="s">
        <v>27</v>
      </c>
    </row>
    <row r="236" spans="1:25" x14ac:dyDescent="0.2">
      <c r="A236" s="2">
        <v>45912.693888888891</v>
      </c>
      <c r="B236" t="s">
        <v>404</v>
      </c>
      <c r="C236" t="s">
        <v>220</v>
      </c>
      <c r="D236" t="str">
        <f>"0504188046"</f>
        <v>0504188046</v>
      </c>
      <c r="E236" t="str">
        <f>"0535234964"</f>
        <v>0535234964</v>
      </c>
      <c r="F236" t="s">
        <v>405</v>
      </c>
      <c r="H236" s="3">
        <v>1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>
        <v>1</v>
      </c>
      <c r="O236" s="3" t="s">
        <v>27</v>
      </c>
      <c r="P236" s="3" t="s">
        <v>27</v>
      </c>
      <c r="Q236" s="3" t="s">
        <v>27</v>
      </c>
      <c r="R236" s="3" t="s">
        <v>27</v>
      </c>
      <c r="S236" s="3">
        <v>1</v>
      </c>
      <c r="T236" s="3" t="s">
        <v>27</v>
      </c>
      <c r="U236" s="3" t="s">
        <v>27</v>
      </c>
      <c r="V236" s="3">
        <v>1</v>
      </c>
      <c r="W236" s="3" t="s">
        <v>27</v>
      </c>
      <c r="X236" s="3">
        <v>1</v>
      </c>
      <c r="Y236" s="3">
        <v>1</v>
      </c>
    </row>
    <row r="237" spans="1:25" x14ac:dyDescent="0.2">
      <c r="A237" s="2">
        <v>45914.986261574071</v>
      </c>
      <c r="B237" t="s">
        <v>406</v>
      </c>
      <c r="C237" t="s">
        <v>407</v>
      </c>
      <c r="D237" t="str">
        <f>"0556787831"</f>
        <v>0556787831</v>
      </c>
      <c r="E237" t="str">
        <f>"0556751973"</f>
        <v>0556751973</v>
      </c>
      <c r="F237" t="s">
        <v>408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>
        <v>1</v>
      </c>
      <c r="O237" s="3" t="s">
        <v>27</v>
      </c>
      <c r="P237" s="3" t="s">
        <v>27</v>
      </c>
      <c r="Q237" s="3" t="s">
        <v>27</v>
      </c>
      <c r="R237" s="3" t="s">
        <v>27</v>
      </c>
      <c r="S237" s="3">
        <v>1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  <c r="Y237" s="3" t="s">
        <v>27</v>
      </c>
    </row>
    <row r="238" spans="1:25" x14ac:dyDescent="0.2">
      <c r="A238" s="2">
        <v>45917.918668981481</v>
      </c>
      <c r="B238" t="s">
        <v>406</v>
      </c>
      <c r="C238" t="s">
        <v>161</v>
      </c>
      <c r="D238" t="str">
        <f>"0527132308"</f>
        <v>0527132308</v>
      </c>
      <c r="F238" t="s">
        <v>409</v>
      </c>
      <c r="H238" s="3">
        <v>3</v>
      </c>
      <c r="I238" s="3" t="s">
        <v>27</v>
      </c>
      <c r="J238" s="3" t="s">
        <v>27</v>
      </c>
      <c r="K238" s="3" t="s">
        <v>27</v>
      </c>
      <c r="L238" s="3">
        <v>1</v>
      </c>
      <c r="M238" s="3" t="s">
        <v>27</v>
      </c>
      <c r="N238" s="3">
        <v>4</v>
      </c>
      <c r="O238" s="3" t="s">
        <v>27</v>
      </c>
      <c r="P238" s="3" t="s">
        <v>27</v>
      </c>
      <c r="Q238" s="3" t="s">
        <v>27</v>
      </c>
      <c r="R238" s="3" t="s">
        <v>27</v>
      </c>
      <c r="S238" s="3">
        <v>3</v>
      </c>
      <c r="T238" s="3">
        <v>1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27</v>
      </c>
    </row>
    <row r="239" spans="1:25" x14ac:dyDescent="0.2">
      <c r="A239" s="2">
        <v>45916.585787037038</v>
      </c>
      <c r="B239" t="s">
        <v>150</v>
      </c>
      <c r="C239" t="s">
        <v>220</v>
      </c>
      <c r="D239" t="str">
        <f>"0548426523"</f>
        <v>0548426523</v>
      </c>
      <c r="F239" t="s">
        <v>410</v>
      </c>
      <c r="H239" s="3">
        <v>1</v>
      </c>
      <c r="I239" s="3" t="s">
        <v>27</v>
      </c>
      <c r="J239" s="3" t="s">
        <v>27</v>
      </c>
      <c r="K239" s="3" t="s">
        <v>27</v>
      </c>
      <c r="L239" s="3" t="s">
        <v>27</v>
      </c>
      <c r="M239" s="3" t="s">
        <v>27</v>
      </c>
      <c r="N239" s="3">
        <v>1</v>
      </c>
      <c r="O239" s="3" t="s">
        <v>27</v>
      </c>
      <c r="P239" s="3" t="s">
        <v>27</v>
      </c>
      <c r="Q239" s="3" t="s">
        <v>27</v>
      </c>
      <c r="R239" s="3" t="s">
        <v>27</v>
      </c>
      <c r="S239" s="3">
        <v>1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27</v>
      </c>
    </row>
    <row r="240" spans="1:25" x14ac:dyDescent="0.2">
      <c r="A240" s="2">
        <v>45918.047824074078</v>
      </c>
      <c r="B240" t="s">
        <v>411</v>
      </c>
      <c r="C240" t="s">
        <v>412</v>
      </c>
      <c r="D240" t="str">
        <f>"0533110661"</f>
        <v>0533110661</v>
      </c>
      <c r="F240" t="s">
        <v>413</v>
      </c>
      <c r="H240" s="3">
        <v>1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>
        <v>1</v>
      </c>
      <c r="O240" s="3" t="s">
        <v>27</v>
      </c>
      <c r="P240" s="3" t="s">
        <v>27</v>
      </c>
      <c r="Q240" s="3" t="s">
        <v>27</v>
      </c>
      <c r="R240" s="3" t="s">
        <v>27</v>
      </c>
      <c r="S240" s="3">
        <v>1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  <c r="Y240" s="3" t="s">
        <v>27</v>
      </c>
    </row>
    <row r="241" spans="1:25" x14ac:dyDescent="0.2">
      <c r="A241" s="2">
        <v>45916.688414351855</v>
      </c>
      <c r="B241" t="s">
        <v>414</v>
      </c>
      <c r="C241" t="s">
        <v>415</v>
      </c>
      <c r="D241" t="str">
        <f>"0527141766"</f>
        <v>0527141766</v>
      </c>
      <c r="H241" s="3" t="s">
        <v>27</v>
      </c>
      <c r="I241" s="3">
        <v>1</v>
      </c>
      <c r="J241" s="3" t="s">
        <v>27</v>
      </c>
      <c r="K241" s="3">
        <v>1</v>
      </c>
      <c r="L241" s="3" t="s">
        <v>27</v>
      </c>
      <c r="M241" s="3" t="s">
        <v>27</v>
      </c>
      <c r="N241" s="3" t="s">
        <v>27</v>
      </c>
      <c r="O241" s="3">
        <v>1</v>
      </c>
      <c r="P241" s="3" t="s">
        <v>27</v>
      </c>
      <c r="Q241" s="3" t="s">
        <v>27</v>
      </c>
      <c r="R241" s="3">
        <v>1</v>
      </c>
      <c r="S241" s="3">
        <v>1</v>
      </c>
      <c r="T241" s="3" t="s">
        <v>27</v>
      </c>
      <c r="U241" s="3">
        <v>1</v>
      </c>
      <c r="V241" s="3">
        <v>2</v>
      </c>
      <c r="W241" s="3" t="s">
        <v>27</v>
      </c>
      <c r="X241" s="3" t="s">
        <v>27</v>
      </c>
      <c r="Y241" s="3" t="s">
        <v>27</v>
      </c>
    </row>
    <row r="242" spans="1:25" x14ac:dyDescent="0.2">
      <c r="A242" s="2">
        <v>45916.611319444448</v>
      </c>
      <c r="B242" t="s">
        <v>414</v>
      </c>
      <c r="C242" t="s">
        <v>36</v>
      </c>
      <c r="D242" t="str">
        <f>"0504144785"</f>
        <v>0504144785</v>
      </c>
      <c r="F242" t="s">
        <v>416</v>
      </c>
      <c r="H242" s="3" t="s">
        <v>27</v>
      </c>
      <c r="I242" s="3">
        <v>1</v>
      </c>
      <c r="J242" s="3" t="s">
        <v>27</v>
      </c>
      <c r="K242" s="3">
        <v>1</v>
      </c>
      <c r="L242" s="3" t="s">
        <v>27</v>
      </c>
      <c r="M242" s="3" t="s">
        <v>27</v>
      </c>
      <c r="N242" s="3" t="s">
        <v>27</v>
      </c>
      <c r="O242" s="3">
        <v>1</v>
      </c>
      <c r="P242" s="3" t="s">
        <v>27</v>
      </c>
      <c r="Q242" s="3" t="s">
        <v>27</v>
      </c>
      <c r="R242" s="3">
        <v>1</v>
      </c>
      <c r="S242" s="3">
        <v>1</v>
      </c>
      <c r="T242" s="3" t="s">
        <v>27</v>
      </c>
      <c r="U242" s="3">
        <v>1</v>
      </c>
      <c r="V242" s="3" t="s">
        <v>27</v>
      </c>
      <c r="W242" s="3" t="s">
        <v>27</v>
      </c>
      <c r="X242" s="3" t="s">
        <v>27</v>
      </c>
      <c r="Y242" s="3" t="s">
        <v>27</v>
      </c>
    </row>
    <row r="243" spans="1:25" x14ac:dyDescent="0.2">
      <c r="A243" s="2">
        <v>45914.820925925924</v>
      </c>
      <c r="B243" t="s">
        <v>160</v>
      </c>
      <c r="C243" t="s">
        <v>88</v>
      </c>
      <c r="D243" t="str">
        <f>"089760378"</f>
        <v>089760378</v>
      </c>
      <c r="H243" s="3">
        <v>3</v>
      </c>
      <c r="I243" s="3" t="s">
        <v>27</v>
      </c>
      <c r="J243" s="3">
        <v>1</v>
      </c>
      <c r="K243" s="3">
        <v>1</v>
      </c>
      <c r="L243" s="3" t="s">
        <v>27</v>
      </c>
      <c r="M243" s="3" t="s">
        <v>27</v>
      </c>
      <c r="N243" s="3">
        <v>3</v>
      </c>
      <c r="O243" s="3" t="s">
        <v>27</v>
      </c>
      <c r="P243" s="3">
        <v>2</v>
      </c>
      <c r="Q243" s="3" t="s">
        <v>27</v>
      </c>
      <c r="R243" s="3" t="s">
        <v>27</v>
      </c>
      <c r="S243" s="3">
        <v>5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  <c r="Y243" s="3" t="s">
        <v>27</v>
      </c>
    </row>
    <row r="244" spans="1:25" x14ac:dyDescent="0.2">
      <c r="A244" s="2">
        <v>45910.996134259258</v>
      </c>
      <c r="B244" t="s">
        <v>162</v>
      </c>
      <c r="C244" t="s">
        <v>60</v>
      </c>
      <c r="D244" t="str">
        <f>"0527124683"</f>
        <v>0527124683</v>
      </c>
      <c r="F244" t="s">
        <v>417</v>
      </c>
      <c r="H244" s="3">
        <v>1</v>
      </c>
      <c r="I244" s="3" t="s">
        <v>27</v>
      </c>
      <c r="J244" s="3" t="s">
        <v>27</v>
      </c>
      <c r="K244" s="3" t="s">
        <v>27</v>
      </c>
      <c r="L244" s="3" t="s">
        <v>27</v>
      </c>
      <c r="M244" s="3" t="s">
        <v>27</v>
      </c>
      <c r="N244" s="3">
        <v>1</v>
      </c>
      <c r="O244" s="3" t="s">
        <v>27</v>
      </c>
      <c r="P244" s="3" t="s">
        <v>27</v>
      </c>
      <c r="Q244" s="3" t="s">
        <v>27</v>
      </c>
      <c r="R244" s="3" t="s">
        <v>27</v>
      </c>
      <c r="S244" s="3">
        <v>1</v>
      </c>
      <c r="T244" s="3" t="s">
        <v>27</v>
      </c>
      <c r="U244" s="3" t="s">
        <v>27</v>
      </c>
      <c r="V244" s="3">
        <v>1</v>
      </c>
      <c r="W244" s="3" t="s">
        <v>27</v>
      </c>
      <c r="X244" s="3" t="s">
        <v>27</v>
      </c>
      <c r="Y244" s="3" t="s">
        <v>27</v>
      </c>
    </row>
    <row r="245" spans="1:25" x14ac:dyDescent="0.2">
      <c r="A245" s="2">
        <v>45909.748819444445</v>
      </c>
      <c r="B245" t="s">
        <v>166</v>
      </c>
      <c r="C245" t="s">
        <v>89</v>
      </c>
      <c r="D245" t="str">
        <f>"0533171729"</f>
        <v>0533171729</v>
      </c>
      <c r="E245" t="str">
        <f>"0534107390"</f>
        <v>0534107390</v>
      </c>
      <c r="H245" s="3">
        <v>1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>
        <v>1</v>
      </c>
      <c r="O245" s="3" t="s">
        <v>27</v>
      </c>
      <c r="P245" s="3" t="s">
        <v>27</v>
      </c>
      <c r="Q245" s="3" t="s">
        <v>27</v>
      </c>
      <c r="R245" s="3" t="s">
        <v>27</v>
      </c>
      <c r="S245" s="3">
        <v>1</v>
      </c>
      <c r="T245" s="3" t="s">
        <v>27</v>
      </c>
      <c r="U245" s="3" t="s">
        <v>27</v>
      </c>
      <c r="V245" s="3" t="s">
        <v>27</v>
      </c>
      <c r="W245" s="3" t="s">
        <v>27</v>
      </c>
      <c r="X245" s="3">
        <v>1</v>
      </c>
      <c r="Y245" s="3" t="s">
        <v>27</v>
      </c>
    </row>
    <row r="246" spans="1:25" x14ac:dyDescent="0.2">
      <c r="A246" s="2">
        <v>45915.838564814818</v>
      </c>
      <c r="B246" t="s">
        <v>170</v>
      </c>
      <c r="C246" t="s">
        <v>394</v>
      </c>
      <c r="D246" t="str">
        <f>"0533157765"</f>
        <v>0533157765</v>
      </c>
      <c r="H246" s="3" t="s">
        <v>27</v>
      </c>
      <c r="I246" s="3" t="s">
        <v>27</v>
      </c>
      <c r="J246" s="3" t="s">
        <v>27</v>
      </c>
      <c r="K246" s="3" t="s">
        <v>27</v>
      </c>
      <c r="L246" s="3">
        <v>1</v>
      </c>
      <c r="M246" s="3" t="s">
        <v>27</v>
      </c>
      <c r="N246" s="3">
        <v>1</v>
      </c>
      <c r="O246" s="3" t="s">
        <v>27</v>
      </c>
      <c r="P246" s="3" t="s">
        <v>27</v>
      </c>
      <c r="Q246" s="3" t="s">
        <v>27</v>
      </c>
      <c r="R246" s="3" t="s">
        <v>27</v>
      </c>
      <c r="S246" s="3">
        <v>1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  <c r="Y246" s="3" t="s">
        <v>27</v>
      </c>
    </row>
    <row r="247" spans="1:25" x14ac:dyDescent="0.2">
      <c r="A247" s="2">
        <v>45916.862453703703</v>
      </c>
      <c r="B247" t="s">
        <v>175</v>
      </c>
      <c r="C247" t="s">
        <v>89</v>
      </c>
      <c r="D247" t="str">
        <f>"0548579631"</f>
        <v>0548579631</v>
      </c>
      <c r="H247" s="3" t="s">
        <v>27</v>
      </c>
      <c r="I247" s="3" t="s">
        <v>27</v>
      </c>
      <c r="J247" s="3" t="s">
        <v>27</v>
      </c>
      <c r="K247" s="3">
        <v>2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>
        <v>2</v>
      </c>
      <c r="S247" s="3" t="s">
        <v>27</v>
      </c>
      <c r="T247" s="3" t="s">
        <v>27</v>
      </c>
      <c r="U247" s="3">
        <v>2</v>
      </c>
      <c r="V247" s="3">
        <v>2</v>
      </c>
      <c r="W247" s="3" t="s">
        <v>27</v>
      </c>
      <c r="X247" s="3">
        <v>1</v>
      </c>
      <c r="Y247" s="3" t="s">
        <v>27</v>
      </c>
    </row>
    <row r="248" spans="1:25" x14ac:dyDescent="0.2">
      <c r="A248" s="2">
        <v>45914.932164351849</v>
      </c>
      <c r="B248" t="s">
        <v>418</v>
      </c>
      <c r="C248" t="s">
        <v>419</v>
      </c>
      <c r="D248" t="str">
        <f>"086283370"</f>
        <v>086283370</v>
      </c>
      <c r="H248" s="3">
        <v>1</v>
      </c>
      <c r="I248" s="3" t="s">
        <v>27</v>
      </c>
      <c r="J248" s="3" t="s">
        <v>27</v>
      </c>
      <c r="K248" s="3" t="s">
        <v>27</v>
      </c>
      <c r="L248" s="3" t="s">
        <v>27</v>
      </c>
      <c r="M248" s="3" t="s">
        <v>27</v>
      </c>
      <c r="N248" s="3">
        <v>1</v>
      </c>
      <c r="O248" s="3" t="s">
        <v>27</v>
      </c>
      <c r="P248" s="3" t="s">
        <v>27</v>
      </c>
      <c r="Q248" s="3" t="s">
        <v>27</v>
      </c>
      <c r="R248" s="3" t="s">
        <v>27</v>
      </c>
      <c r="S248" s="3">
        <v>1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  <c r="Y248" s="3" t="s">
        <v>27</v>
      </c>
    </row>
    <row r="249" spans="1:25" x14ac:dyDescent="0.2">
      <c r="A249" s="2">
        <v>45916.667986111112</v>
      </c>
      <c r="B249" t="s">
        <v>420</v>
      </c>
      <c r="C249" t="s">
        <v>161</v>
      </c>
      <c r="D249" t="str">
        <f>"0504107914"</f>
        <v>0504107914</v>
      </c>
      <c r="E249" t="str">
        <f>"0583235017"</f>
        <v>0583235017</v>
      </c>
      <c r="F249" t="s">
        <v>421</v>
      </c>
      <c r="H249" s="3" t="s">
        <v>27</v>
      </c>
      <c r="I249" s="3">
        <v>1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>
        <v>1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  <c r="Y249" s="3" t="s">
        <v>27</v>
      </c>
    </row>
    <row r="250" spans="1:25" x14ac:dyDescent="0.2">
      <c r="A250" s="2">
        <v>45914.992129629631</v>
      </c>
      <c r="B250" t="s">
        <v>178</v>
      </c>
      <c r="C250" t="s">
        <v>66</v>
      </c>
      <c r="D250" t="str">
        <f>"0527182765"</f>
        <v>0527182765</v>
      </c>
      <c r="E250" t="str">
        <f>"0527182764"</f>
        <v>0527182764</v>
      </c>
      <c r="H250" s="3">
        <v>1</v>
      </c>
      <c r="I250" s="3" t="s">
        <v>27</v>
      </c>
      <c r="J250" s="3">
        <v>1</v>
      </c>
      <c r="K250" s="3">
        <v>2</v>
      </c>
      <c r="L250" s="3" t="s">
        <v>27</v>
      </c>
      <c r="M250" s="3" t="s">
        <v>27</v>
      </c>
      <c r="N250" s="3">
        <v>1</v>
      </c>
      <c r="O250" s="3" t="s">
        <v>27</v>
      </c>
      <c r="P250" s="3">
        <v>1</v>
      </c>
      <c r="Q250" s="3" t="s">
        <v>27</v>
      </c>
      <c r="R250" s="3">
        <v>2</v>
      </c>
      <c r="S250" s="3">
        <v>1</v>
      </c>
      <c r="T250" s="3" t="s">
        <v>27</v>
      </c>
      <c r="U250" s="3">
        <v>2</v>
      </c>
      <c r="V250" s="3">
        <v>2</v>
      </c>
      <c r="W250" s="3">
        <v>3</v>
      </c>
      <c r="X250" s="3" t="s">
        <v>27</v>
      </c>
      <c r="Y250" s="3" t="s">
        <v>27</v>
      </c>
    </row>
    <row r="251" spans="1:25" x14ac:dyDescent="0.2">
      <c r="A251" s="2">
        <v>45916.852685185186</v>
      </c>
      <c r="B251" t="s">
        <v>178</v>
      </c>
      <c r="C251" t="s">
        <v>336</v>
      </c>
      <c r="D251" t="str">
        <f>"0527645621"</f>
        <v>0527645621</v>
      </c>
      <c r="F251" t="s">
        <v>422</v>
      </c>
      <c r="H251" s="3" t="s">
        <v>27</v>
      </c>
      <c r="I251" s="3" t="s">
        <v>27</v>
      </c>
      <c r="J251" s="3" t="s">
        <v>27</v>
      </c>
      <c r="K251" s="3">
        <v>1</v>
      </c>
      <c r="L251" s="3">
        <v>1</v>
      </c>
      <c r="M251" s="3">
        <v>3</v>
      </c>
      <c r="N251" s="3">
        <v>1</v>
      </c>
      <c r="O251" s="3">
        <v>3</v>
      </c>
      <c r="P251" s="3" t="s">
        <v>27</v>
      </c>
      <c r="Q251" s="3" t="s">
        <v>27</v>
      </c>
      <c r="R251" s="3">
        <v>1</v>
      </c>
      <c r="S251" s="3">
        <v>1</v>
      </c>
      <c r="T251" s="3">
        <v>3</v>
      </c>
      <c r="U251" s="3">
        <v>1</v>
      </c>
      <c r="V251" s="3">
        <v>5</v>
      </c>
      <c r="W251" s="3" t="s">
        <v>27</v>
      </c>
      <c r="X251" s="3" t="s">
        <v>27</v>
      </c>
      <c r="Y251" s="3" t="s">
        <v>27</v>
      </c>
    </row>
    <row r="252" spans="1:25" x14ac:dyDescent="0.2">
      <c r="A252" s="2">
        <v>45916.448703703703</v>
      </c>
      <c r="B252" t="s">
        <v>423</v>
      </c>
      <c r="C252" t="s">
        <v>424</v>
      </c>
      <c r="D252" t="str">
        <f>"0548491918"</f>
        <v>0548491918</v>
      </c>
      <c r="E252" t="str">
        <f>"0548524798"</f>
        <v>0548524798</v>
      </c>
      <c r="H252" s="3">
        <v>1</v>
      </c>
      <c r="I252" s="3" t="s">
        <v>27</v>
      </c>
      <c r="J252" s="3" t="s">
        <v>27</v>
      </c>
      <c r="K252" s="3">
        <v>2</v>
      </c>
      <c r="L252" s="3" t="s">
        <v>27</v>
      </c>
      <c r="M252" s="3" t="s">
        <v>27</v>
      </c>
      <c r="N252" s="3">
        <v>1</v>
      </c>
      <c r="O252" s="3" t="s">
        <v>27</v>
      </c>
      <c r="P252" s="3" t="s">
        <v>27</v>
      </c>
      <c r="Q252" s="3" t="s">
        <v>27</v>
      </c>
      <c r="R252" s="3">
        <v>2</v>
      </c>
      <c r="S252" s="3">
        <v>1</v>
      </c>
      <c r="T252" s="3" t="s">
        <v>27</v>
      </c>
      <c r="U252" s="3">
        <v>2</v>
      </c>
      <c r="V252" s="3" t="s">
        <v>27</v>
      </c>
      <c r="W252" s="3">
        <v>1</v>
      </c>
      <c r="X252" s="3" t="s">
        <v>27</v>
      </c>
      <c r="Y252" s="3" t="s">
        <v>27</v>
      </c>
    </row>
    <row r="253" spans="1:25" x14ac:dyDescent="0.2">
      <c r="A253" s="2">
        <v>45915.59611111111</v>
      </c>
      <c r="B253" t="s">
        <v>425</v>
      </c>
      <c r="C253" t="s">
        <v>426</v>
      </c>
      <c r="D253" t="str">
        <f>"0548593143"</f>
        <v>0548593143</v>
      </c>
      <c r="E253" t="str">
        <f>"0556702151"</f>
        <v>0556702151</v>
      </c>
      <c r="H253" s="3">
        <v>1</v>
      </c>
      <c r="I253" s="3" t="s">
        <v>27</v>
      </c>
      <c r="J253" s="3" t="s">
        <v>27</v>
      </c>
      <c r="K253" s="3" t="s">
        <v>27</v>
      </c>
      <c r="L253" s="3" t="s">
        <v>27</v>
      </c>
      <c r="M253" s="3" t="s">
        <v>27</v>
      </c>
      <c r="N253" s="3">
        <v>1</v>
      </c>
      <c r="O253" s="3" t="s">
        <v>27</v>
      </c>
      <c r="P253" s="3" t="s">
        <v>27</v>
      </c>
      <c r="Q253" s="3" t="s">
        <v>27</v>
      </c>
      <c r="R253" s="3" t="s">
        <v>27</v>
      </c>
      <c r="S253" s="3">
        <v>1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  <c r="Y253" s="3" t="s">
        <v>27</v>
      </c>
    </row>
    <row r="254" spans="1:25" x14ac:dyDescent="0.2">
      <c r="A254" s="2">
        <v>45915.059861111113</v>
      </c>
      <c r="B254" t="s">
        <v>427</v>
      </c>
      <c r="C254" t="s">
        <v>428</v>
      </c>
      <c r="D254" t="str">
        <f>"0548598499"</f>
        <v>0548598499</v>
      </c>
      <c r="H254" s="3">
        <v>1</v>
      </c>
      <c r="I254" s="3" t="s">
        <v>27</v>
      </c>
      <c r="J254" s="3" t="s">
        <v>27</v>
      </c>
      <c r="K254" s="3" t="s">
        <v>27</v>
      </c>
      <c r="L254" s="3" t="s">
        <v>27</v>
      </c>
      <c r="M254" s="3" t="s">
        <v>27</v>
      </c>
      <c r="N254" s="3">
        <v>1</v>
      </c>
      <c r="O254" s="3" t="s">
        <v>27</v>
      </c>
      <c r="P254" s="3" t="s">
        <v>27</v>
      </c>
      <c r="Q254" s="3" t="s">
        <v>27</v>
      </c>
      <c r="R254" s="3" t="s">
        <v>27</v>
      </c>
      <c r="S254" s="3">
        <v>1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  <c r="Y254" s="3" t="s">
        <v>27</v>
      </c>
    </row>
    <row r="255" spans="1:25" x14ac:dyDescent="0.2">
      <c r="A255" s="2">
        <v>45916.476284722223</v>
      </c>
      <c r="B255" t="s">
        <v>89</v>
      </c>
      <c r="C255" t="s">
        <v>60</v>
      </c>
      <c r="D255" t="str">
        <f>"0583227907"</f>
        <v>0583227907</v>
      </c>
      <c r="H255" s="3">
        <v>1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>
        <v>1</v>
      </c>
      <c r="P255" s="3" t="s">
        <v>27</v>
      </c>
      <c r="Q255" s="3" t="s">
        <v>27</v>
      </c>
      <c r="R255" s="3" t="s">
        <v>27</v>
      </c>
      <c r="S255" s="3" t="s">
        <v>27</v>
      </c>
      <c r="T255" s="3">
        <v>1</v>
      </c>
      <c r="U255" s="3" t="s">
        <v>27</v>
      </c>
      <c r="V255" s="3" t="s">
        <v>27</v>
      </c>
      <c r="W255" s="3" t="s">
        <v>27</v>
      </c>
      <c r="X255" s="3" t="s">
        <v>27</v>
      </c>
      <c r="Y255" s="3" t="s">
        <v>27</v>
      </c>
    </row>
    <row r="256" spans="1:25" x14ac:dyDescent="0.2">
      <c r="A256" s="2">
        <v>45914.455057870371</v>
      </c>
      <c r="B256" t="s">
        <v>429</v>
      </c>
      <c r="C256" t="s">
        <v>430</v>
      </c>
      <c r="D256" t="str">
        <f>"0583205032"</f>
        <v>0583205032</v>
      </c>
      <c r="E256" t="str">
        <f>"0527626901"</f>
        <v>0527626901</v>
      </c>
      <c r="H256" s="3" t="s">
        <v>27</v>
      </c>
      <c r="I256" s="3" t="s">
        <v>27</v>
      </c>
      <c r="J256" s="3" t="s">
        <v>27</v>
      </c>
      <c r="K256" s="3" t="s">
        <v>27</v>
      </c>
      <c r="L256" s="3">
        <v>1</v>
      </c>
      <c r="M256" s="3" t="s">
        <v>27</v>
      </c>
      <c r="N256" s="3">
        <v>1</v>
      </c>
      <c r="O256" s="3" t="s">
        <v>27</v>
      </c>
      <c r="P256" s="3" t="s">
        <v>27</v>
      </c>
      <c r="Q256" s="3" t="s">
        <v>27</v>
      </c>
      <c r="R256" s="3" t="s">
        <v>27</v>
      </c>
      <c r="S256" s="3">
        <v>1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  <c r="Y256" s="3" t="s">
        <v>27</v>
      </c>
    </row>
    <row r="257" spans="1:25" x14ac:dyDescent="0.2">
      <c r="A257" s="2">
        <v>45914.079756944448</v>
      </c>
      <c r="B257" t="s">
        <v>431</v>
      </c>
      <c r="C257" t="s">
        <v>26</v>
      </c>
      <c r="D257" t="str">
        <f>"0527673234"</f>
        <v>0527673234</v>
      </c>
      <c r="H257" s="3" t="s">
        <v>27</v>
      </c>
      <c r="I257" s="3" t="s">
        <v>27</v>
      </c>
      <c r="J257" s="3" t="s">
        <v>27</v>
      </c>
      <c r="K257" s="3" t="s">
        <v>27</v>
      </c>
      <c r="L257" s="3">
        <v>1</v>
      </c>
      <c r="M257" s="3" t="s">
        <v>27</v>
      </c>
      <c r="N257" s="3">
        <v>1</v>
      </c>
      <c r="O257" s="3" t="s">
        <v>27</v>
      </c>
      <c r="P257" s="3" t="s">
        <v>27</v>
      </c>
      <c r="Q257" s="3" t="s">
        <v>27</v>
      </c>
      <c r="R257" s="3" t="s">
        <v>27</v>
      </c>
      <c r="S257" s="3">
        <v>1</v>
      </c>
      <c r="T257" s="3" t="s">
        <v>27</v>
      </c>
      <c r="U257" s="3" t="s">
        <v>27</v>
      </c>
      <c r="V257" s="3" t="s">
        <v>27</v>
      </c>
      <c r="W257" s="3">
        <v>1</v>
      </c>
      <c r="X257" s="3" t="s">
        <v>27</v>
      </c>
      <c r="Y257" s="3" t="s">
        <v>27</v>
      </c>
    </row>
    <row r="258" spans="1:25" x14ac:dyDescent="0.2">
      <c r="A258" s="2">
        <v>45916.910046296296</v>
      </c>
      <c r="B258" t="s">
        <v>432</v>
      </c>
      <c r="C258" t="s">
        <v>137</v>
      </c>
      <c r="D258" t="str">
        <f>"0583210783"</f>
        <v>0583210783</v>
      </c>
      <c r="E258" t="str">
        <f>"0533171601"</f>
        <v>0533171601</v>
      </c>
      <c r="G258" t="s">
        <v>433</v>
      </c>
      <c r="H258" s="3">
        <v>1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3">
        <v>1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>
        <v>1</v>
      </c>
      <c r="W258" s="3" t="s">
        <v>27</v>
      </c>
      <c r="X258" s="3" t="s">
        <v>27</v>
      </c>
      <c r="Y258" s="3" t="s">
        <v>27</v>
      </c>
    </row>
    <row r="259" spans="1:25" x14ac:dyDescent="0.2">
      <c r="A259" s="2">
        <v>45915.513275462959</v>
      </c>
      <c r="B259" t="s">
        <v>434</v>
      </c>
      <c r="C259" t="s">
        <v>435</v>
      </c>
      <c r="D259" t="str">
        <f>"0556737320"</f>
        <v>0556737320</v>
      </c>
      <c r="H259" s="3" t="s">
        <v>27</v>
      </c>
      <c r="I259" s="3" t="s">
        <v>27</v>
      </c>
      <c r="J259" s="3" t="s">
        <v>27</v>
      </c>
      <c r="K259" s="3" t="s">
        <v>27</v>
      </c>
      <c r="L259" s="3">
        <v>1</v>
      </c>
      <c r="M259" s="3" t="s">
        <v>27</v>
      </c>
      <c r="N259" s="3">
        <v>1</v>
      </c>
      <c r="O259" s="3" t="s">
        <v>27</v>
      </c>
      <c r="P259" s="3" t="s">
        <v>27</v>
      </c>
      <c r="Q259" s="3" t="s">
        <v>27</v>
      </c>
      <c r="R259" s="3" t="s">
        <v>27</v>
      </c>
      <c r="S259" s="3">
        <v>1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  <c r="Y259" s="3" t="s">
        <v>27</v>
      </c>
    </row>
    <row r="260" spans="1:25" x14ac:dyDescent="0.2">
      <c r="A260" s="2">
        <v>45916.772245370368</v>
      </c>
      <c r="B260" t="s">
        <v>436</v>
      </c>
      <c r="C260" t="s">
        <v>161</v>
      </c>
      <c r="D260" t="str">
        <f>"0583240886"</f>
        <v>0583240886</v>
      </c>
      <c r="H260" s="3">
        <v>1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  <c r="Y260" s="3" t="s">
        <v>27</v>
      </c>
    </row>
    <row r="261" spans="1:25" x14ac:dyDescent="0.2">
      <c r="A261" s="2">
        <v>45910.578819444447</v>
      </c>
      <c r="B261" t="s">
        <v>437</v>
      </c>
      <c r="C261" t="s">
        <v>82</v>
      </c>
      <c r="D261" t="str">
        <f>"0583288265"</f>
        <v>0583288265</v>
      </c>
      <c r="F261" t="s">
        <v>438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>
        <v>1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>
        <v>1</v>
      </c>
      <c r="Y261" s="3" t="s">
        <v>27</v>
      </c>
    </row>
    <row r="262" spans="1:25" x14ac:dyDescent="0.2">
      <c r="A262" s="2">
        <v>45915.556851851848</v>
      </c>
      <c r="B262" t="s">
        <v>439</v>
      </c>
      <c r="C262" t="s">
        <v>56</v>
      </c>
      <c r="D262" t="str">
        <f>"0548411599"</f>
        <v>0548411599</v>
      </c>
      <c r="E262" t="str">
        <f>"0533135991"</f>
        <v>0533135991</v>
      </c>
      <c r="H262" s="3" t="s">
        <v>27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>
        <v>1</v>
      </c>
      <c r="O262" s="3" t="s">
        <v>27</v>
      </c>
      <c r="P262" s="3" t="s">
        <v>27</v>
      </c>
      <c r="Q262" s="3" t="s">
        <v>27</v>
      </c>
      <c r="R262" s="3" t="s">
        <v>27</v>
      </c>
      <c r="S262" s="3">
        <v>1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  <c r="Y262" s="3" t="s">
        <v>27</v>
      </c>
    </row>
    <row r="263" spans="1:25" x14ac:dyDescent="0.2">
      <c r="A263" s="2">
        <v>45917.063310185185</v>
      </c>
      <c r="B263" t="s">
        <v>440</v>
      </c>
      <c r="C263" t="s">
        <v>36</v>
      </c>
      <c r="D263" t="str">
        <f>"0548492956"</f>
        <v>0548492956</v>
      </c>
      <c r="F263" t="s">
        <v>441</v>
      </c>
      <c r="H263" s="3">
        <v>1</v>
      </c>
      <c r="I263" s="3" t="s">
        <v>27</v>
      </c>
      <c r="J263" s="3" t="s">
        <v>27</v>
      </c>
      <c r="K263" s="3" t="s">
        <v>27</v>
      </c>
      <c r="L263" s="3" t="s">
        <v>27</v>
      </c>
      <c r="M263" s="3" t="s">
        <v>27</v>
      </c>
      <c r="N263" s="3">
        <v>1</v>
      </c>
      <c r="O263" s="3" t="s">
        <v>27</v>
      </c>
      <c r="P263" s="3" t="s">
        <v>27</v>
      </c>
      <c r="Q263" s="3" t="s">
        <v>27</v>
      </c>
      <c r="R263" s="3" t="s">
        <v>27</v>
      </c>
      <c r="S263" s="3">
        <v>1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  <c r="Y263" s="3" t="s">
        <v>27</v>
      </c>
    </row>
    <row r="264" spans="1:25" x14ac:dyDescent="0.2">
      <c r="A264" s="2">
        <v>45916.656238425923</v>
      </c>
      <c r="B264" t="s">
        <v>442</v>
      </c>
      <c r="C264" t="s">
        <v>40</v>
      </c>
      <c r="D264" t="str">
        <f>"0527110227"</f>
        <v>0527110227</v>
      </c>
      <c r="E264" t="str">
        <f>"0772061010"</f>
        <v>0772061010</v>
      </c>
      <c r="F264" t="s">
        <v>443</v>
      </c>
      <c r="H264" s="3">
        <v>1</v>
      </c>
      <c r="I264" s="3" t="s">
        <v>27</v>
      </c>
      <c r="J264" s="3" t="s">
        <v>27</v>
      </c>
      <c r="K264" s="3" t="s">
        <v>27</v>
      </c>
      <c r="L264" s="3">
        <v>1</v>
      </c>
      <c r="M264" s="3" t="s">
        <v>27</v>
      </c>
      <c r="N264" s="3">
        <v>4</v>
      </c>
      <c r="O264" s="3" t="s">
        <v>27</v>
      </c>
      <c r="P264" s="3" t="s">
        <v>27</v>
      </c>
      <c r="Q264" s="3" t="s">
        <v>27</v>
      </c>
      <c r="R264" s="3" t="s">
        <v>27</v>
      </c>
      <c r="S264" s="3">
        <v>4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  <c r="Y264" s="3" t="s">
        <v>27</v>
      </c>
    </row>
    <row r="265" spans="1:25" x14ac:dyDescent="0.2">
      <c r="A265" s="2">
        <v>45917.092372685183</v>
      </c>
      <c r="B265" t="s">
        <v>444</v>
      </c>
      <c r="C265" t="s">
        <v>445</v>
      </c>
      <c r="D265" t="str">
        <f>"0548529429"</f>
        <v>0548529429</v>
      </c>
      <c r="F265" t="s">
        <v>446</v>
      </c>
      <c r="G265" t="s">
        <v>447</v>
      </c>
      <c r="H265" s="3" t="s">
        <v>27</v>
      </c>
      <c r="I265" s="3" t="s">
        <v>27</v>
      </c>
      <c r="J265" s="3" t="s">
        <v>27</v>
      </c>
      <c r="K265" s="3" t="s">
        <v>27</v>
      </c>
      <c r="L265" s="3">
        <v>1</v>
      </c>
      <c r="M265" s="3" t="s">
        <v>27</v>
      </c>
      <c r="N265" s="3">
        <v>1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  <c r="Y265" s="3" t="s">
        <v>27</v>
      </c>
    </row>
    <row r="266" spans="1:25" x14ac:dyDescent="0.2">
      <c r="A266" s="2">
        <v>45908.894756944443</v>
      </c>
      <c r="B266" t="s">
        <v>448</v>
      </c>
      <c r="C266" t="s">
        <v>252</v>
      </c>
      <c r="D266" t="str">
        <f>"0548453606"</f>
        <v>0548453606</v>
      </c>
      <c r="F266" t="s">
        <v>449</v>
      </c>
      <c r="H266" s="3" t="s">
        <v>27</v>
      </c>
      <c r="I266" s="3" t="s">
        <v>27</v>
      </c>
      <c r="J266" s="3" t="s">
        <v>27</v>
      </c>
      <c r="K266" s="3">
        <v>1</v>
      </c>
      <c r="L266" s="3">
        <v>1</v>
      </c>
      <c r="M266" s="3" t="s">
        <v>27</v>
      </c>
      <c r="N266" s="3">
        <v>1</v>
      </c>
      <c r="O266" s="3" t="s">
        <v>27</v>
      </c>
      <c r="P266" s="3" t="s">
        <v>27</v>
      </c>
      <c r="Q266" s="3" t="s">
        <v>27</v>
      </c>
      <c r="R266" s="3">
        <v>1</v>
      </c>
      <c r="S266" s="3">
        <v>1</v>
      </c>
      <c r="T266" s="3" t="s">
        <v>27</v>
      </c>
      <c r="U266" s="3">
        <v>1</v>
      </c>
      <c r="V266" s="3" t="s">
        <v>27</v>
      </c>
      <c r="W266" s="3" t="s">
        <v>27</v>
      </c>
      <c r="X266" s="3">
        <v>2</v>
      </c>
      <c r="Y266" s="3" t="s">
        <v>27</v>
      </c>
    </row>
    <row r="267" spans="1:25" x14ac:dyDescent="0.2">
      <c r="A267" s="2">
        <v>45916.896724537037</v>
      </c>
      <c r="B267" t="s">
        <v>450</v>
      </c>
      <c r="C267" t="s">
        <v>304</v>
      </c>
      <c r="D267" t="str">
        <f>"0548436640"</f>
        <v>0548436640</v>
      </c>
      <c r="E267" t="str">
        <f>"089740850"</f>
        <v>089740850</v>
      </c>
      <c r="F267" t="s">
        <v>451</v>
      </c>
      <c r="H267" s="3">
        <v>1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>
        <v>2</v>
      </c>
      <c r="O267" s="3" t="s">
        <v>27</v>
      </c>
      <c r="P267" s="3" t="s">
        <v>27</v>
      </c>
      <c r="Q267" s="3" t="s">
        <v>27</v>
      </c>
      <c r="R267" s="3" t="s">
        <v>27</v>
      </c>
      <c r="S267" s="3">
        <v>4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  <c r="Y267" s="3" t="s">
        <v>27</v>
      </c>
    </row>
    <row r="268" spans="1:25" x14ac:dyDescent="0.2">
      <c r="A268" s="2">
        <v>45917.068738425929</v>
      </c>
      <c r="B268" t="s">
        <v>452</v>
      </c>
      <c r="C268" t="s">
        <v>141</v>
      </c>
      <c r="D268" t="str">
        <f>"0527149565"</f>
        <v>0527149565</v>
      </c>
      <c r="H268" s="3" t="s">
        <v>27</v>
      </c>
      <c r="I268" s="3" t="s">
        <v>27</v>
      </c>
      <c r="J268" s="3" t="s">
        <v>27</v>
      </c>
      <c r="K268" s="3" t="s">
        <v>27</v>
      </c>
      <c r="L268" s="3">
        <v>1</v>
      </c>
      <c r="M268" s="3" t="s">
        <v>27</v>
      </c>
      <c r="N268" s="3">
        <v>1</v>
      </c>
      <c r="O268" s="3" t="s">
        <v>27</v>
      </c>
      <c r="P268" s="3" t="s">
        <v>27</v>
      </c>
      <c r="Q268" s="3" t="s">
        <v>27</v>
      </c>
      <c r="R268" s="3" t="s">
        <v>27</v>
      </c>
      <c r="S268" s="3">
        <v>1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  <c r="Y268" s="3" t="s">
        <v>27</v>
      </c>
    </row>
    <row r="269" spans="1:25" x14ac:dyDescent="0.2">
      <c r="A269" s="2">
        <v>45914.880925925929</v>
      </c>
      <c r="B269" t="s">
        <v>453</v>
      </c>
      <c r="C269" t="s">
        <v>54</v>
      </c>
      <c r="D269" t="str">
        <f>"0548412300"</f>
        <v>0548412300</v>
      </c>
      <c r="E269" t="str">
        <f>"0527178890"</f>
        <v>0527178890</v>
      </c>
      <c r="H269" s="3" t="s">
        <v>27</v>
      </c>
      <c r="I269" s="3" t="s">
        <v>27</v>
      </c>
      <c r="J269" s="3" t="s">
        <v>27</v>
      </c>
      <c r="K269" s="3" t="s">
        <v>27</v>
      </c>
      <c r="L269" s="3">
        <v>1</v>
      </c>
      <c r="M269" s="3" t="s">
        <v>27</v>
      </c>
      <c r="N269" s="3">
        <v>1</v>
      </c>
      <c r="O269" s="3" t="s">
        <v>27</v>
      </c>
      <c r="P269" s="3" t="s">
        <v>27</v>
      </c>
      <c r="Q269" s="3" t="s">
        <v>27</v>
      </c>
      <c r="R269" s="3" t="s">
        <v>27</v>
      </c>
      <c r="S269" s="3">
        <v>1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  <c r="Y269" s="3" t="s">
        <v>27</v>
      </c>
    </row>
    <row r="270" spans="1:25" x14ac:dyDescent="0.2">
      <c r="A270" s="2">
        <v>45910.821759259263</v>
      </c>
      <c r="B270" t="s">
        <v>454</v>
      </c>
      <c r="C270" t="s">
        <v>455</v>
      </c>
      <c r="D270" t="str">
        <f>"0548440655"</f>
        <v>0548440655</v>
      </c>
      <c r="F270" t="s">
        <v>456</v>
      </c>
      <c r="G270" t="s">
        <v>457</v>
      </c>
      <c r="H270" s="3" t="s">
        <v>27</v>
      </c>
      <c r="I270" s="3" t="s">
        <v>27</v>
      </c>
      <c r="J270" s="3" t="s">
        <v>27</v>
      </c>
      <c r="K270" s="3" t="s">
        <v>27</v>
      </c>
      <c r="L270" s="3">
        <v>1</v>
      </c>
      <c r="M270" s="3" t="s">
        <v>27</v>
      </c>
      <c r="N270" s="3" t="s">
        <v>27</v>
      </c>
      <c r="O270" s="3" t="s">
        <v>27</v>
      </c>
      <c r="P270" s="3">
        <v>1</v>
      </c>
      <c r="Q270" s="3" t="s">
        <v>27</v>
      </c>
      <c r="R270" s="3" t="s">
        <v>27</v>
      </c>
      <c r="S270" s="3" t="s">
        <v>27</v>
      </c>
      <c r="T270" s="3">
        <v>1</v>
      </c>
      <c r="U270" s="3" t="s">
        <v>27</v>
      </c>
      <c r="V270" s="3">
        <v>1</v>
      </c>
      <c r="W270" s="3">
        <v>1</v>
      </c>
      <c r="X270" s="3" t="s">
        <v>27</v>
      </c>
      <c r="Y270" s="3" t="s">
        <v>27</v>
      </c>
    </row>
    <row r="271" spans="1:25" x14ac:dyDescent="0.2">
      <c r="A271" s="2">
        <v>45917.337893518517</v>
      </c>
      <c r="B271" t="s">
        <v>458</v>
      </c>
      <c r="C271" t="s">
        <v>161</v>
      </c>
      <c r="D271" t="str">
        <f>"0504174918"</f>
        <v>0504174918</v>
      </c>
      <c r="H271" s="3" t="s">
        <v>27</v>
      </c>
      <c r="I271" s="3" t="s">
        <v>27</v>
      </c>
      <c r="J271" s="3">
        <v>1</v>
      </c>
      <c r="K271" s="3" t="s">
        <v>27</v>
      </c>
      <c r="L271" s="3" t="s">
        <v>27</v>
      </c>
      <c r="M271" s="3" t="s">
        <v>27</v>
      </c>
      <c r="N271" s="3">
        <v>1</v>
      </c>
      <c r="O271" s="3" t="s">
        <v>27</v>
      </c>
      <c r="P271" s="3">
        <v>1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  <c r="Y271" s="3" t="s">
        <v>27</v>
      </c>
    </row>
    <row r="272" spans="1:25" x14ac:dyDescent="0.2">
      <c r="A272" s="2">
        <v>45914.675520833334</v>
      </c>
      <c r="B272" t="s">
        <v>459</v>
      </c>
      <c r="C272" t="s">
        <v>62</v>
      </c>
      <c r="D272" t="str">
        <f>"0548431365"</f>
        <v>0548431365</v>
      </c>
      <c r="H272" s="3" t="s">
        <v>27</v>
      </c>
      <c r="I272" s="3" t="s">
        <v>27</v>
      </c>
      <c r="J272" s="3" t="s">
        <v>27</v>
      </c>
      <c r="K272" s="3" t="s">
        <v>27</v>
      </c>
      <c r="L272" s="3">
        <v>1</v>
      </c>
      <c r="M272" s="3" t="s">
        <v>27</v>
      </c>
      <c r="N272" s="3">
        <v>1</v>
      </c>
      <c r="O272" s="3" t="s">
        <v>27</v>
      </c>
      <c r="P272" s="3" t="s">
        <v>27</v>
      </c>
      <c r="Q272" s="3" t="s">
        <v>27</v>
      </c>
      <c r="R272" s="3" t="s">
        <v>27</v>
      </c>
      <c r="S272" s="3">
        <v>3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  <c r="Y272" s="3" t="s">
        <v>27</v>
      </c>
    </row>
    <row r="273" spans="1:25" x14ac:dyDescent="0.2">
      <c r="A273" s="2">
        <v>45917.679629629631</v>
      </c>
      <c r="B273" t="s">
        <v>460</v>
      </c>
      <c r="C273" t="s">
        <v>143</v>
      </c>
      <c r="D273" t="str">
        <f>"0527660903"</f>
        <v>0527660903</v>
      </c>
      <c r="E273" t="str">
        <f>"0548489831"</f>
        <v>0548489831</v>
      </c>
      <c r="F273" t="s">
        <v>461</v>
      </c>
      <c r="H273" s="3">
        <v>1</v>
      </c>
      <c r="I273" s="3" t="s">
        <v>27</v>
      </c>
      <c r="J273" s="3" t="s">
        <v>27</v>
      </c>
      <c r="K273" s="3">
        <v>1</v>
      </c>
      <c r="L273" s="3" t="s">
        <v>27</v>
      </c>
      <c r="M273" s="3" t="s">
        <v>27</v>
      </c>
      <c r="N273" s="3">
        <v>1</v>
      </c>
      <c r="O273" s="3" t="s">
        <v>27</v>
      </c>
      <c r="P273" s="3" t="s">
        <v>27</v>
      </c>
      <c r="Q273" s="3" t="s">
        <v>27</v>
      </c>
      <c r="R273" s="3">
        <v>1</v>
      </c>
      <c r="S273" s="3">
        <v>1</v>
      </c>
      <c r="T273" s="3" t="s">
        <v>27</v>
      </c>
      <c r="U273" s="3">
        <v>1</v>
      </c>
      <c r="V273" s="3" t="s">
        <v>27</v>
      </c>
      <c r="W273" s="3" t="s">
        <v>27</v>
      </c>
      <c r="X273" s="3">
        <v>2</v>
      </c>
      <c r="Y273" s="3" t="s">
        <v>27</v>
      </c>
    </row>
    <row r="274" spans="1:25" x14ac:dyDescent="0.2">
      <c r="A274" s="2">
        <v>45915.295243055552</v>
      </c>
      <c r="B274" t="s">
        <v>462</v>
      </c>
      <c r="C274" t="s">
        <v>99</v>
      </c>
      <c r="D274" t="str">
        <f>"0583239982"</f>
        <v>0583239982</v>
      </c>
      <c r="F274" t="s">
        <v>463</v>
      </c>
      <c r="H274" s="3" t="s">
        <v>27</v>
      </c>
      <c r="I274" s="3" t="s">
        <v>27</v>
      </c>
      <c r="J274" s="3">
        <v>1</v>
      </c>
      <c r="K274" s="3">
        <v>1</v>
      </c>
      <c r="L274" s="3">
        <v>1</v>
      </c>
      <c r="M274" s="3" t="s">
        <v>27</v>
      </c>
      <c r="N274" s="3">
        <v>1</v>
      </c>
      <c r="O274" s="3" t="s">
        <v>27</v>
      </c>
      <c r="P274" s="3">
        <v>1</v>
      </c>
      <c r="Q274" s="3" t="s">
        <v>27</v>
      </c>
      <c r="R274" s="3">
        <v>1</v>
      </c>
      <c r="S274" s="3">
        <v>1</v>
      </c>
      <c r="T274" s="3">
        <v>1</v>
      </c>
      <c r="U274" s="3">
        <v>1</v>
      </c>
      <c r="V274" s="3">
        <v>3</v>
      </c>
      <c r="W274" s="3" t="s">
        <v>27</v>
      </c>
      <c r="X274" s="3">
        <v>1</v>
      </c>
      <c r="Y274" s="3" t="s">
        <v>27</v>
      </c>
    </row>
    <row r="275" spans="1:25" x14ac:dyDescent="0.2">
      <c r="A275" s="2">
        <v>45911.872928240744</v>
      </c>
      <c r="B275" t="s">
        <v>464</v>
      </c>
      <c r="C275" t="s">
        <v>356</v>
      </c>
      <c r="D275" t="str">
        <f>"0548495452"</f>
        <v>0548495452</v>
      </c>
      <c r="E275" t="str">
        <f>"0533124718"</f>
        <v>0533124718</v>
      </c>
      <c r="F275" t="s">
        <v>465</v>
      </c>
      <c r="H275" s="3">
        <v>1</v>
      </c>
      <c r="I275" s="3" t="s">
        <v>27</v>
      </c>
      <c r="J275" s="3" t="s">
        <v>27</v>
      </c>
      <c r="K275" s="3">
        <v>1</v>
      </c>
      <c r="L275" s="3" t="s">
        <v>27</v>
      </c>
      <c r="M275" s="3" t="s">
        <v>27</v>
      </c>
      <c r="N275" s="3">
        <v>1</v>
      </c>
      <c r="O275" s="3" t="s">
        <v>27</v>
      </c>
      <c r="P275" s="3" t="s">
        <v>27</v>
      </c>
      <c r="Q275" s="3" t="s">
        <v>27</v>
      </c>
      <c r="R275" s="3">
        <v>1</v>
      </c>
      <c r="S275" s="3">
        <v>1</v>
      </c>
      <c r="T275" s="3" t="s">
        <v>27</v>
      </c>
      <c r="U275" s="3">
        <v>1</v>
      </c>
      <c r="V275" s="3">
        <v>2</v>
      </c>
      <c r="W275" s="3" t="s">
        <v>27</v>
      </c>
      <c r="X275" s="3">
        <v>1</v>
      </c>
      <c r="Y275" s="3" t="s">
        <v>27</v>
      </c>
    </row>
    <row r="276" spans="1:25" x14ac:dyDescent="0.2">
      <c r="A276" s="2">
        <v>45916.935578703706</v>
      </c>
      <c r="B276" t="s">
        <v>466</v>
      </c>
      <c r="C276" t="s">
        <v>467</v>
      </c>
      <c r="D276" t="str">
        <f>"0548583223"</f>
        <v>0548583223</v>
      </c>
      <c r="E276" t="str">
        <f>"0583257863"</f>
        <v>0583257863</v>
      </c>
      <c r="H276" s="3">
        <v>1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>
        <v>1</v>
      </c>
      <c r="O276" s="3" t="s">
        <v>27</v>
      </c>
      <c r="P276" s="3" t="s">
        <v>27</v>
      </c>
      <c r="Q276" s="3" t="s">
        <v>27</v>
      </c>
      <c r="R276" s="3" t="s">
        <v>27</v>
      </c>
      <c r="S276" s="3">
        <v>1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  <c r="Y276" s="3" t="s">
        <v>27</v>
      </c>
    </row>
    <row r="277" spans="1:25" x14ac:dyDescent="0.2">
      <c r="A277" s="2">
        <v>45916.540590277778</v>
      </c>
      <c r="B277" t="s">
        <v>468</v>
      </c>
      <c r="C277" t="s">
        <v>143</v>
      </c>
      <c r="D277" t="str">
        <f>"0548499182"</f>
        <v>0548499182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>
        <v>3</v>
      </c>
      <c r="O277" s="3" t="s">
        <v>27</v>
      </c>
      <c r="P277" s="3" t="s">
        <v>27</v>
      </c>
      <c r="Q277" s="3" t="s">
        <v>27</v>
      </c>
      <c r="R277" s="3" t="s">
        <v>27</v>
      </c>
      <c r="S277" s="3">
        <v>3</v>
      </c>
      <c r="T277" s="3" t="s">
        <v>27</v>
      </c>
      <c r="U277" s="3" t="s">
        <v>27</v>
      </c>
      <c r="V277" s="3" t="s">
        <v>27</v>
      </c>
      <c r="W277" s="3" t="s">
        <v>27</v>
      </c>
      <c r="X277" s="3">
        <v>1</v>
      </c>
      <c r="Y277" s="3">
        <v>1</v>
      </c>
    </row>
    <row r="278" spans="1:25" x14ac:dyDescent="0.2">
      <c r="A278" s="2">
        <v>45916.006493055553</v>
      </c>
      <c r="B278" t="s">
        <v>222</v>
      </c>
      <c r="C278" t="s">
        <v>469</v>
      </c>
      <c r="D278" t="str">
        <f>"0527159656"</f>
        <v>0527159656</v>
      </c>
      <c r="E278" t="str">
        <f>"0548411604"</f>
        <v>0548411604</v>
      </c>
      <c r="F278" t="s">
        <v>470</v>
      </c>
      <c r="H278" s="3">
        <v>1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>
        <v>1</v>
      </c>
      <c r="O278" s="3" t="s">
        <v>27</v>
      </c>
      <c r="P278" s="3" t="s">
        <v>27</v>
      </c>
      <c r="Q278" s="3" t="s">
        <v>27</v>
      </c>
      <c r="R278" s="3" t="s">
        <v>27</v>
      </c>
      <c r="S278" s="3">
        <v>1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  <c r="Y278" s="3" t="s">
        <v>27</v>
      </c>
    </row>
    <row r="279" spans="1:25" x14ac:dyDescent="0.2">
      <c r="A279" s="2">
        <v>45916.676539351851</v>
      </c>
      <c r="B279" t="s">
        <v>222</v>
      </c>
      <c r="C279" t="s">
        <v>112</v>
      </c>
      <c r="D279" t="str">
        <f>"0556775310"</f>
        <v>0556775310</v>
      </c>
      <c r="E279" t="str">
        <f>"0583237557"</f>
        <v>0583237557</v>
      </c>
      <c r="H279" s="3">
        <v>1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>
        <v>1</v>
      </c>
      <c r="O279" s="3" t="s">
        <v>27</v>
      </c>
      <c r="P279" s="3" t="s">
        <v>27</v>
      </c>
      <c r="Q279" s="3" t="s">
        <v>27</v>
      </c>
      <c r="R279" s="3" t="s">
        <v>27</v>
      </c>
      <c r="S279" s="3">
        <v>1</v>
      </c>
      <c r="T279" s="3" t="s">
        <v>27</v>
      </c>
      <c r="U279" s="3" t="s">
        <v>27</v>
      </c>
      <c r="V279" s="3">
        <v>1</v>
      </c>
      <c r="W279" s="3" t="s">
        <v>27</v>
      </c>
      <c r="X279" s="3" t="s">
        <v>27</v>
      </c>
      <c r="Y279" s="3" t="s">
        <v>27</v>
      </c>
    </row>
    <row r="280" spans="1:25" x14ac:dyDescent="0.2">
      <c r="A280" s="2">
        <v>45911.98940972222</v>
      </c>
      <c r="B280" t="s">
        <v>471</v>
      </c>
      <c r="C280" t="s">
        <v>472</v>
      </c>
      <c r="D280" t="str">
        <f>"0534191125"</f>
        <v>0534191125</v>
      </c>
      <c r="F280" t="s">
        <v>473</v>
      </c>
      <c r="H280" s="3">
        <v>1</v>
      </c>
      <c r="I280" s="3" t="s">
        <v>27</v>
      </c>
      <c r="J280" s="3" t="s">
        <v>27</v>
      </c>
      <c r="K280" s="3">
        <v>1</v>
      </c>
      <c r="L280" s="3" t="s">
        <v>27</v>
      </c>
      <c r="M280" s="3" t="s">
        <v>27</v>
      </c>
      <c r="N280" s="3">
        <v>1</v>
      </c>
      <c r="O280" s="3" t="s">
        <v>27</v>
      </c>
      <c r="P280" s="3" t="s">
        <v>27</v>
      </c>
      <c r="Q280" s="3" t="s">
        <v>27</v>
      </c>
      <c r="R280" s="3">
        <v>1</v>
      </c>
      <c r="S280" s="3">
        <v>1</v>
      </c>
      <c r="T280" s="3" t="s">
        <v>27</v>
      </c>
      <c r="U280" s="3">
        <v>1</v>
      </c>
      <c r="V280" s="3">
        <v>1</v>
      </c>
      <c r="W280" s="3" t="s">
        <v>27</v>
      </c>
      <c r="X280" s="3">
        <v>1</v>
      </c>
      <c r="Y280" s="3" t="s">
        <v>27</v>
      </c>
    </row>
    <row r="281" spans="1:25" x14ac:dyDescent="0.2">
      <c r="A281" s="2">
        <v>45916.533275462964</v>
      </c>
      <c r="B281" t="s">
        <v>474</v>
      </c>
      <c r="C281" t="s">
        <v>475</v>
      </c>
      <c r="D281" t="str">
        <f>"0527109125"</f>
        <v>0527109125</v>
      </c>
      <c r="F281" t="s">
        <v>476</v>
      </c>
      <c r="H281" s="3">
        <v>1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>
        <v>1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  <c r="Y281" s="3" t="s">
        <v>27</v>
      </c>
    </row>
    <row r="282" spans="1:25" x14ac:dyDescent="0.2">
      <c r="A282" s="2">
        <v>45916.413576388892</v>
      </c>
      <c r="B282" t="s">
        <v>477</v>
      </c>
      <c r="C282" t="s">
        <v>220</v>
      </c>
      <c r="D282" t="str">
        <f>"0548408025"</f>
        <v>0548408025</v>
      </c>
      <c r="E282" t="str">
        <f>"089790920"</f>
        <v>089790920</v>
      </c>
      <c r="H282" s="3" t="s">
        <v>27</v>
      </c>
      <c r="I282" s="3" t="s">
        <v>27</v>
      </c>
      <c r="J282" s="3">
        <v>1</v>
      </c>
      <c r="K282" s="3" t="s">
        <v>27</v>
      </c>
      <c r="L282" s="3" t="s">
        <v>27</v>
      </c>
      <c r="M282" s="3">
        <v>2</v>
      </c>
      <c r="N282" s="3">
        <v>1</v>
      </c>
      <c r="O282" s="3">
        <v>1</v>
      </c>
      <c r="P282" s="3">
        <v>1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  <c r="Y282" s="3" t="s">
        <v>27</v>
      </c>
    </row>
    <row r="283" spans="1:25" x14ac:dyDescent="0.2">
      <c r="A283" s="2">
        <v>45909.412789351853</v>
      </c>
      <c r="B283" t="s">
        <v>478</v>
      </c>
      <c r="C283" t="s">
        <v>137</v>
      </c>
      <c r="D283" t="str">
        <f>"0548417235"</f>
        <v>0548417235</v>
      </c>
      <c r="H283" s="3">
        <v>1</v>
      </c>
      <c r="I283" s="3" t="s">
        <v>27</v>
      </c>
      <c r="J283" s="3" t="s">
        <v>27</v>
      </c>
      <c r="K283" s="3" t="s">
        <v>27</v>
      </c>
      <c r="L283" s="3" t="s">
        <v>27</v>
      </c>
      <c r="M283" s="3" t="s">
        <v>27</v>
      </c>
      <c r="N283" s="3">
        <v>1</v>
      </c>
      <c r="O283" s="3" t="s">
        <v>27</v>
      </c>
      <c r="P283" s="3" t="s">
        <v>27</v>
      </c>
      <c r="Q283" s="3" t="s">
        <v>27</v>
      </c>
      <c r="R283" s="3" t="s">
        <v>27</v>
      </c>
      <c r="S283" s="3">
        <v>1</v>
      </c>
      <c r="T283" s="3" t="s">
        <v>27</v>
      </c>
      <c r="U283" s="3" t="s">
        <v>27</v>
      </c>
      <c r="V283" s="3" t="s">
        <v>27</v>
      </c>
      <c r="W283" s="3" t="s">
        <v>27</v>
      </c>
      <c r="X283" s="3">
        <v>1</v>
      </c>
      <c r="Y283" s="3" t="s">
        <v>27</v>
      </c>
    </row>
    <row r="284" spans="1:25" x14ac:dyDescent="0.2">
      <c r="A284" s="2">
        <v>45917.019537037035</v>
      </c>
      <c r="B284" t="s">
        <v>478</v>
      </c>
      <c r="C284" t="s">
        <v>210</v>
      </c>
      <c r="D284" t="str">
        <f>"0583223339"</f>
        <v>0583223339</v>
      </c>
      <c r="E284" t="str">
        <f>"0527651130"</f>
        <v>0527651130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>
        <v>1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  <c r="Y284" s="3" t="s">
        <v>27</v>
      </c>
    </row>
    <row r="285" spans="1:25" x14ac:dyDescent="0.2">
      <c r="A285" s="2">
        <v>45914.941863425927</v>
      </c>
      <c r="B285" t="s">
        <v>479</v>
      </c>
      <c r="C285" t="s">
        <v>45</v>
      </c>
      <c r="D285" t="str">
        <f>"0533178551"</f>
        <v>0533178551</v>
      </c>
      <c r="F285" t="s">
        <v>480</v>
      </c>
      <c r="H285" s="3">
        <v>1</v>
      </c>
      <c r="I285" s="3" t="s">
        <v>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>
        <v>1</v>
      </c>
      <c r="O285" s="3" t="s">
        <v>27</v>
      </c>
      <c r="P285" s="3" t="s">
        <v>27</v>
      </c>
      <c r="Q285" s="3" t="s">
        <v>27</v>
      </c>
      <c r="R285" s="3" t="s">
        <v>27</v>
      </c>
      <c r="S285" s="3">
        <v>1</v>
      </c>
      <c r="T285" s="3" t="s">
        <v>27</v>
      </c>
      <c r="U285" s="3" t="s">
        <v>27</v>
      </c>
      <c r="V285" s="3">
        <v>1</v>
      </c>
      <c r="W285" s="3">
        <v>1</v>
      </c>
      <c r="X285" s="3" t="s">
        <v>27</v>
      </c>
      <c r="Y285" s="3" t="s">
        <v>27</v>
      </c>
    </row>
    <row r="286" spans="1:25" x14ac:dyDescent="0.2">
      <c r="A286" s="2">
        <v>45914.967916666668</v>
      </c>
      <c r="B286" t="s">
        <v>481</v>
      </c>
      <c r="C286" t="s">
        <v>161</v>
      </c>
      <c r="D286" t="str">
        <f>"0556783994"</f>
        <v>0556783994</v>
      </c>
      <c r="F286" t="s">
        <v>482</v>
      </c>
      <c r="H286" s="3" t="s">
        <v>27</v>
      </c>
      <c r="I286" s="3" t="s">
        <v>27</v>
      </c>
      <c r="J286" s="3" t="s">
        <v>27</v>
      </c>
      <c r="K286" s="3" t="s">
        <v>27</v>
      </c>
      <c r="L286" s="3">
        <v>1</v>
      </c>
      <c r="M286" s="3" t="s">
        <v>27</v>
      </c>
      <c r="N286" s="3">
        <v>1</v>
      </c>
      <c r="O286" s="3">
        <v>1</v>
      </c>
      <c r="P286" s="3" t="s">
        <v>27</v>
      </c>
      <c r="Q286" s="3" t="s">
        <v>27</v>
      </c>
      <c r="R286" s="3" t="s">
        <v>27</v>
      </c>
      <c r="S286" s="3">
        <v>2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  <c r="Y286" s="3" t="s">
        <v>27</v>
      </c>
    </row>
    <row r="287" spans="1:25" x14ac:dyDescent="0.2">
      <c r="A287" s="2">
        <v>45908.8752662037</v>
      </c>
      <c r="B287" t="s">
        <v>483</v>
      </c>
      <c r="C287" t="s">
        <v>484</v>
      </c>
      <c r="D287" t="str">
        <f>"0504101272"</f>
        <v>0504101272</v>
      </c>
      <c r="H287" s="3" t="s">
        <v>27</v>
      </c>
      <c r="I287" s="3" t="s">
        <v>27</v>
      </c>
      <c r="J287" s="3" t="s">
        <v>27</v>
      </c>
      <c r="K287" s="3" t="s">
        <v>27</v>
      </c>
      <c r="L287" s="3" t="s">
        <v>27</v>
      </c>
      <c r="M287" s="3" t="s">
        <v>27</v>
      </c>
      <c r="N287" s="3">
        <v>1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  <c r="Y287" s="3" t="s">
        <v>27</v>
      </c>
    </row>
    <row r="288" spans="1:25" x14ac:dyDescent="0.2">
      <c r="A288" s="2">
        <v>45916.931851851848</v>
      </c>
      <c r="B288" t="s">
        <v>266</v>
      </c>
      <c r="C288" t="s">
        <v>51</v>
      </c>
      <c r="D288" t="str">
        <f>"0527655546"</f>
        <v>0527655546</v>
      </c>
      <c r="F288" t="s">
        <v>485</v>
      </c>
      <c r="H288" s="3">
        <v>1</v>
      </c>
      <c r="I288" s="3" t="s">
        <v>27</v>
      </c>
      <c r="J288" s="3">
        <v>1</v>
      </c>
      <c r="K288" s="3" t="s">
        <v>27</v>
      </c>
      <c r="L288" s="3" t="s">
        <v>27</v>
      </c>
      <c r="M288" s="3" t="s">
        <v>27</v>
      </c>
      <c r="N288" s="3">
        <v>1</v>
      </c>
      <c r="O288" s="3" t="s">
        <v>27</v>
      </c>
      <c r="P288" s="3">
        <v>1</v>
      </c>
      <c r="Q288" s="3" t="s">
        <v>27</v>
      </c>
      <c r="R288" s="3" t="s">
        <v>27</v>
      </c>
      <c r="S288" s="3">
        <v>1</v>
      </c>
      <c r="T288" s="3">
        <v>1</v>
      </c>
      <c r="U288" s="3" t="s">
        <v>27</v>
      </c>
      <c r="V288" s="3" t="s">
        <v>27</v>
      </c>
      <c r="W288" s="3">
        <v>2</v>
      </c>
      <c r="X288" s="3" t="s">
        <v>27</v>
      </c>
      <c r="Y288" s="3">
        <v>1</v>
      </c>
    </row>
    <row r="289" spans="1:25" x14ac:dyDescent="0.2">
      <c r="A289" s="2">
        <v>45916.899791666663</v>
      </c>
      <c r="B289" t="s">
        <v>486</v>
      </c>
      <c r="C289" t="s">
        <v>31</v>
      </c>
      <c r="D289" t="str">
        <f>"0527162835"</f>
        <v>0527162835</v>
      </c>
      <c r="H289" s="3">
        <v>1</v>
      </c>
      <c r="I289" s="3" t="s">
        <v>27</v>
      </c>
      <c r="J289" s="3" t="s">
        <v>27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27</v>
      </c>
    </row>
    <row r="290" spans="1:25" x14ac:dyDescent="0.2">
      <c r="A290" s="2">
        <v>45914.892604166664</v>
      </c>
      <c r="B290" t="s">
        <v>487</v>
      </c>
      <c r="C290" t="s">
        <v>36</v>
      </c>
      <c r="D290" t="str">
        <f>"0527122099"</f>
        <v>0527122099</v>
      </c>
      <c r="E290" t="str">
        <f>"0556701974"</f>
        <v>0556701974</v>
      </c>
      <c r="H290" s="3" t="s">
        <v>27</v>
      </c>
      <c r="I290" s="3" t="s">
        <v>27</v>
      </c>
      <c r="J290" s="3" t="s">
        <v>27</v>
      </c>
      <c r="K290" s="3" t="s">
        <v>27</v>
      </c>
      <c r="L290" s="3">
        <v>1</v>
      </c>
      <c r="M290" s="3" t="s">
        <v>27</v>
      </c>
      <c r="N290" s="3">
        <v>1</v>
      </c>
      <c r="O290" s="3" t="s">
        <v>27</v>
      </c>
      <c r="P290" s="3" t="s">
        <v>27</v>
      </c>
      <c r="Q290" s="3" t="s">
        <v>27</v>
      </c>
      <c r="R290" s="3" t="s">
        <v>27</v>
      </c>
      <c r="S290" s="3">
        <v>1</v>
      </c>
      <c r="T290" s="3" t="s">
        <v>27</v>
      </c>
      <c r="U290" s="3" t="s">
        <v>27</v>
      </c>
      <c r="V290" s="3">
        <v>1</v>
      </c>
      <c r="W290" s="3" t="s">
        <v>27</v>
      </c>
      <c r="X290" s="3" t="s">
        <v>27</v>
      </c>
      <c r="Y290" s="3" t="s">
        <v>27</v>
      </c>
    </row>
    <row r="291" spans="1:25" x14ac:dyDescent="0.2">
      <c r="A291" s="2">
        <v>45917.063726851855</v>
      </c>
      <c r="B291" t="s">
        <v>488</v>
      </c>
      <c r="C291" t="s">
        <v>143</v>
      </c>
      <c r="D291" t="str">
        <f>"0583240941"</f>
        <v>0583240941</v>
      </c>
      <c r="E291" t="str">
        <f>"089322129"</f>
        <v>089322129</v>
      </c>
      <c r="H291" s="3" t="s">
        <v>27</v>
      </c>
      <c r="I291" s="3" t="s">
        <v>27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>
        <v>1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27</v>
      </c>
    </row>
    <row r="292" spans="1:25" x14ac:dyDescent="0.2">
      <c r="A292" s="2">
        <v>45916.63181712963</v>
      </c>
      <c r="B292" t="s">
        <v>489</v>
      </c>
      <c r="C292" t="s">
        <v>161</v>
      </c>
      <c r="D292" t="str">
        <f>"0556728500"</f>
        <v>0556728500</v>
      </c>
      <c r="E292" t="str">
        <f>"0548502496"</f>
        <v>0548502496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>
        <v>1</v>
      </c>
      <c r="N292" s="3">
        <v>1</v>
      </c>
      <c r="O292" s="3" t="s">
        <v>27</v>
      </c>
      <c r="P292" s="3" t="s">
        <v>27</v>
      </c>
      <c r="Q292" s="3" t="s">
        <v>27</v>
      </c>
      <c r="R292" s="3" t="s">
        <v>27</v>
      </c>
      <c r="S292" s="3">
        <v>1</v>
      </c>
      <c r="T292" s="3" t="s">
        <v>27</v>
      </c>
      <c r="U292" s="3" t="s">
        <v>27</v>
      </c>
      <c r="V292" s="3" t="s">
        <v>27</v>
      </c>
      <c r="W292" s="3" t="s">
        <v>27</v>
      </c>
      <c r="X292" s="3">
        <v>1</v>
      </c>
      <c r="Y292" s="3" t="s">
        <v>27</v>
      </c>
    </row>
    <row r="293" spans="1:25" x14ac:dyDescent="0.2">
      <c r="A293" s="2">
        <v>45916.976944444446</v>
      </c>
      <c r="B293" t="s">
        <v>490</v>
      </c>
      <c r="C293" t="s">
        <v>491</v>
      </c>
      <c r="D293" t="str">
        <f>"0533197713"</f>
        <v>0533197713</v>
      </c>
      <c r="H293" s="3" t="s">
        <v>27</v>
      </c>
      <c r="I293" s="3" t="s">
        <v>27</v>
      </c>
      <c r="J293" s="3" t="s">
        <v>27</v>
      </c>
      <c r="K293" s="3" t="s">
        <v>27</v>
      </c>
      <c r="L293" s="3">
        <v>1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  <c r="Y293" s="3" t="s">
        <v>27</v>
      </c>
    </row>
    <row r="294" spans="1:25" x14ac:dyDescent="0.2">
      <c r="A294" s="2">
        <v>45915.662592592591</v>
      </c>
      <c r="B294" t="s">
        <v>492</v>
      </c>
      <c r="C294" t="s">
        <v>252</v>
      </c>
      <c r="D294" t="str">
        <f>"0504157320"</f>
        <v>0504157320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>
        <v>1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  <c r="Y294" s="3" t="s">
        <v>27</v>
      </c>
    </row>
    <row r="295" spans="1:25" x14ac:dyDescent="0.2">
      <c r="A295" s="2">
        <v>45915.482256944444</v>
      </c>
      <c r="B295" t="s">
        <v>493</v>
      </c>
      <c r="C295" t="s">
        <v>494</v>
      </c>
      <c r="D295" t="str">
        <f>"0527665030"</f>
        <v>0527665030</v>
      </c>
      <c r="F295" t="s">
        <v>495</v>
      </c>
      <c r="H295" s="3">
        <v>1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>
        <v>1</v>
      </c>
      <c r="T295" s="3" t="s">
        <v>27</v>
      </c>
      <c r="U295" s="3" t="s">
        <v>27</v>
      </c>
      <c r="V295" s="3">
        <v>1</v>
      </c>
      <c r="W295" s="3" t="s">
        <v>27</v>
      </c>
      <c r="X295" s="3" t="s">
        <v>27</v>
      </c>
      <c r="Y295" s="3" t="s">
        <v>27</v>
      </c>
    </row>
    <row r="296" spans="1:25" x14ac:dyDescent="0.2">
      <c r="A296" s="2">
        <v>45916.459039351852</v>
      </c>
      <c r="B296" t="s">
        <v>496</v>
      </c>
      <c r="C296" t="s">
        <v>66</v>
      </c>
      <c r="D296" t="str">
        <f>"0583294013"</f>
        <v>0583294013</v>
      </c>
      <c r="H296" s="3" t="s">
        <v>27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>
        <v>1</v>
      </c>
      <c r="O296" s="3" t="s">
        <v>27</v>
      </c>
      <c r="P296" s="3" t="s">
        <v>27</v>
      </c>
      <c r="Q296" s="3" t="s">
        <v>27</v>
      </c>
      <c r="R296" s="3" t="s">
        <v>27</v>
      </c>
      <c r="S296" s="3">
        <v>1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  <c r="Y296" s="3" t="s">
        <v>27</v>
      </c>
    </row>
    <row r="297" spans="1:25" x14ac:dyDescent="0.2">
      <c r="A297" s="2">
        <v>45917.521261574075</v>
      </c>
      <c r="B297" t="s">
        <v>287</v>
      </c>
      <c r="C297" t="s">
        <v>53</v>
      </c>
      <c r="D297" t="str">
        <f>"086198979"</f>
        <v>086198979</v>
      </c>
      <c r="E297" t="str">
        <f>"0533152328"</f>
        <v>0533152328</v>
      </c>
      <c r="F297" t="s">
        <v>497</v>
      </c>
      <c r="H297" s="3" t="s">
        <v>27</v>
      </c>
      <c r="I297" s="3" t="s">
        <v>27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>
        <v>2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  <c r="Y297" s="3" t="s">
        <v>27</v>
      </c>
    </row>
    <row r="298" spans="1:25" x14ac:dyDescent="0.2">
      <c r="A298" s="2">
        <v>45915.616203703707</v>
      </c>
      <c r="B298" t="s">
        <v>498</v>
      </c>
      <c r="C298" t="s">
        <v>161</v>
      </c>
      <c r="D298" t="str">
        <f>"0527143450"</f>
        <v>0527143450</v>
      </c>
      <c r="E298" t="str">
        <f>"0533134376"</f>
        <v>0533134376</v>
      </c>
      <c r="F298" t="s">
        <v>499</v>
      </c>
      <c r="H298" s="3" t="s">
        <v>27</v>
      </c>
      <c r="I298" s="3" t="s">
        <v>27</v>
      </c>
      <c r="J298" s="3" t="s">
        <v>27</v>
      </c>
      <c r="K298" s="3" t="s">
        <v>27</v>
      </c>
      <c r="L298" s="3" t="s">
        <v>27</v>
      </c>
      <c r="M298" s="3">
        <v>1</v>
      </c>
      <c r="N298" s="3" t="s">
        <v>27</v>
      </c>
      <c r="O298" s="3">
        <v>1</v>
      </c>
      <c r="P298" s="3" t="s">
        <v>27</v>
      </c>
      <c r="Q298" s="3" t="s">
        <v>27</v>
      </c>
      <c r="R298" s="3" t="s">
        <v>27</v>
      </c>
      <c r="S298" s="3" t="s">
        <v>27</v>
      </c>
      <c r="T298" s="3">
        <v>1</v>
      </c>
      <c r="U298" s="3" t="s">
        <v>27</v>
      </c>
      <c r="V298" s="3" t="s">
        <v>27</v>
      </c>
      <c r="W298" s="3">
        <v>1</v>
      </c>
      <c r="X298" s="3" t="s">
        <v>27</v>
      </c>
      <c r="Y298" s="3" t="s">
        <v>27</v>
      </c>
    </row>
    <row r="299" spans="1:25" x14ac:dyDescent="0.2">
      <c r="A299" s="2">
        <v>45916.585462962961</v>
      </c>
      <c r="B299" t="s">
        <v>500</v>
      </c>
      <c r="C299" t="s">
        <v>252</v>
      </c>
      <c r="D299" t="str">
        <f>"0527675402"</f>
        <v>0527675402</v>
      </c>
      <c r="H299" s="3" t="s">
        <v>27</v>
      </c>
      <c r="I299" s="3" t="s">
        <v>27</v>
      </c>
      <c r="J299" s="3" t="s">
        <v>27</v>
      </c>
      <c r="K299" s="3" t="s">
        <v>27</v>
      </c>
      <c r="L299" s="3">
        <v>1</v>
      </c>
      <c r="M299" s="3" t="s">
        <v>27</v>
      </c>
      <c r="N299" s="3">
        <v>3</v>
      </c>
      <c r="O299" s="3">
        <v>3</v>
      </c>
      <c r="P299" s="3" t="s">
        <v>27</v>
      </c>
      <c r="Q299" s="3" t="s">
        <v>27</v>
      </c>
      <c r="R299" s="3" t="s">
        <v>27</v>
      </c>
      <c r="S299" s="3">
        <v>1</v>
      </c>
      <c r="T299" s="3">
        <v>3</v>
      </c>
      <c r="U299" s="3" t="s">
        <v>27</v>
      </c>
      <c r="V299" s="3" t="s">
        <v>27</v>
      </c>
      <c r="W299" s="3">
        <v>1</v>
      </c>
      <c r="X299" s="3" t="s">
        <v>27</v>
      </c>
      <c r="Y299" s="3" t="s">
        <v>27</v>
      </c>
    </row>
    <row r="300" spans="1:25" x14ac:dyDescent="0.2">
      <c r="A300" s="2">
        <v>45916.409791666665</v>
      </c>
      <c r="B300" t="s">
        <v>500</v>
      </c>
      <c r="C300" t="s">
        <v>501</v>
      </c>
      <c r="D300" t="str">
        <f>"0548441582"</f>
        <v>0548441582</v>
      </c>
      <c r="H300" s="3" t="s">
        <v>27</v>
      </c>
      <c r="I300" s="3" t="s">
        <v>27</v>
      </c>
      <c r="J300" s="3" t="s">
        <v>27</v>
      </c>
      <c r="K300" s="3" t="s">
        <v>27</v>
      </c>
      <c r="L300" s="3">
        <v>1</v>
      </c>
      <c r="M300" s="3" t="s">
        <v>27</v>
      </c>
      <c r="N300" s="3">
        <v>1</v>
      </c>
      <c r="O300" s="3" t="s">
        <v>27</v>
      </c>
      <c r="P300" s="3" t="s">
        <v>27</v>
      </c>
      <c r="Q300" s="3" t="s">
        <v>27</v>
      </c>
      <c r="R300" s="3" t="s">
        <v>27</v>
      </c>
      <c r="S300" s="3">
        <v>1</v>
      </c>
      <c r="T300" s="3" t="s">
        <v>27</v>
      </c>
      <c r="U300" s="3" t="s">
        <v>27</v>
      </c>
      <c r="V300" s="3" t="s">
        <v>27</v>
      </c>
      <c r="W300" s="3">
        <v>1</v>
      </c>
      <c r="X300" s="3" t="s">
        <v>27</v>
      </c>
      <c r="Y300" s="3" t="s">
        <v>27</v>
      </c>
    </row>
    <row r="301" spans="1:25" x14ac:dyDescent="0.2">
      <c r="A301" s="2">
        <v>45914.973287037035</v>
      </c>
      <c r="B301" t="s">
        <v>502</v>
      </c>
      <c r="C301" t="s">
        <v>259</v>
      </c>
      <c r="D301" t="str">
        <f>"0533119384"</f>
        <v>0533119384</v>
      </c>
      <c r="E301" t="str">
        <f>"0548489171"</f>
        <v>0548489171</v>
      </c>
      <c r="H301" s="3" t="s">
        <v>27</v>
      </c>
      <c r="I301" s="3" t="s">
        <v>27</v>
      </c>
      <c r="J301" s="3" t="s">
        <v>27</v>
      </c>
      <c r="K301" s="3" t="s">
        <v>27</v>
      </c>
      <c r="L301" s="3">
        <v>1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  <c r="Y301" s="3" t="s">
        <v>27</v>
      </c>
    </row>
    <row r="302" spans="1:25" x14ac:dyDescent="0.2">
      <c r="A302" s="2">
        <v>45908.567777777775</v>
      </c>
      <c r="B302" t="s">
        <v>502</v>
      </c>
      <c r="C302" t="s">
        <v>29</v>
      </c>
      <c r="D302" t="str">
        <f>"0548429906"</f>
        <v>0548429906</v>
      </c>
      <c r="F302" t="s">
        <v>503</v>
      </c>
      <c r="H302" s="3" t="s">
        <v>27</v>
      </c>
      <c r="I302" s="3" t="s">
        <v>27</v>
      </c>
      <c r="J302" s="3" t="s">
        <v>27</v>
      </c>
      <c r="K302" s="3" t="s">
        <v>27</v>
      </c>
      <c r="L302" s="3">
        <v>1</v>
      </c>
      <c r="M302" s="3" t="s">
        <v>27</v>
      </c>
      <c r="N302" s="3">
        <v>1</v>
      </c>
      <c r="O302" s="3" t="s">
        <v>27</v>
      </c>
      <c r="P302" s="3" t="s">
        <v>27</v>
      </c>
      <c r="Q302" s="3" t="s">
        <v>27</v>
      </c>
      <c r="R302" s="3" t="s">
        <v>27</v>
      </c>
      <c r="S302" s="3">
        <v>1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  <c r="Y302" s="3" t="s">
        <v>27</v>
      </c>
    </row>
    <row r="303" spans="1:25" x14ac:dyDescent="0.2">
      <c r="A303" s="2">
        <v>45916.635659722226</v>
      </c>
      <c r="B303" t="s">
        <v>504</v>
      </c>
      <c r="C303" t="s">
        <v>210</v>
      </c>
      <c r="D303" t="str">
        <f>"0533131385"</f>
        <v>0533131385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>
        <v>1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  <c r="Y303" s="3" t="s">
        <v>27</v>
      </c>
    </row>
    <row r="304" spans="1:25" x14ac:dyDescent="0.2">
      <c r="A304" s="2">
        <v>45912.075601851851</v>
      </c>
      <c r="B304" t="s">
        <v>505</v>
      </c>
      <c r="C304" t="s">
        <v>60</v>
      </c>
      <c r="D304" t="str">
        <f>"0504128292"</f>
        <v>0504128292</v>
      </c>
      <c r="E304" t="str">
        <f>"0527612417"</f>
        <v>0527612417</v>
      </c>
      <c r="F304" t="s">
        <v>506</v>
      </c>
      <c r="H304" s="3">
        <v>1</v>
      </c>
      <c r="I304" s="3" t="s">
        <v>27</v>
      </c>
      <c r="J304" s="3">
        <v>1</v>
      </c>
      <c r="K304" s="3">
        <v>1</v>
      </c>
      <c r="L304" s="3" t="s">
        <v>27</v>
      </c>
      <c r="M304" s="3" t="s">
        <v>27</v>
      </c>
      <c r="N304" s="3">
        <v>1</v>
      </c>
      <c r="O304" s="3" t="s">
        <v>27</v>
      </c>
      <c r="P304" s="3">
        <v>1</v>
      </c>
      <c r="Q304" s="3" t="s">
        <v>27</v>
      </c>
      <c r="R304" s="3">
        <v>1</v>
      </c>
      <c r="S304" s="3">
        <v>1</v>
      </c>
      <c r="T304" s="3">
        <v>1</v>
      </c>
      <c r="U304" s="3">
        <v>1</v>
      </c>
      <c r="V304" s="3" t="s">
        <v>27</v>
      </c>
      <c r="W304" s="3">
        <v>1</v>
      </c>
      <c r="X304" s="3" t="s">
        <v>27</v>
      </c>
      <c r="Y304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אלחנן דיקשטיין</dc:creator>
  <cp:lastModifiedBy>אלחנן דיקשטיין</cp:lastModifiedBy>
  <dcterms:created xsi:type="dcterms:W3CDTF">2026-06-11T07:44:33Z</dcterms:created>
  <dcterms:modified xsi:type="dcterms:W3CDTF">2026-06-11T07:46:57Z</dcterms:modified>
</cp:coreProperties>
</file>